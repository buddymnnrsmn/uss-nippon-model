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colate\Documents\Claude\claude-in-docker\FinancialModel\audits\evidence\"/>
    </mc:Choice>
  </mc:AlternateContent>
  <xr:revisionPtr revIDLastSave="0" documentId="8_{F897A21B-8EFA-4623-9791-13F8302B865A}" xr6:coauthVersionLast="47" xr6:coauthVersionMax="47" xr10:uidLastSave="{00000000-0000-0000-0000-000000000000}"/>
  <bookViews>
    <workbookView xWindow="3060" yWindow="1080" windowWidth="28080" windowHeight="19740" xr2:uid="{566C3E7B-01E4-4D36-B415-64CA30C28B74}"/>
  </bookViews>
  <sheets>
    <sheet name="US Steel_Income Statement" sheetId="1" r:id="rId1"/>
    <sheet name="US Steel_Balance Sheet" sheetId="2" r:id="rId2"/>
    <sheet name="US Steel_Cash Flow" sheetId="3" r:id="rId3"/>
    <sheet name="US Steel_Financial Metrics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4" l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L26" i="1"/>
  <c r="AL24" i="1"/>
  <c r="AL21" i="1"/>
  <c r="AL27" i="1"/>
  <c r="AL28" i="1"/>
  <c r="AM26" i="1"/>
  <c r="AM24" i="1"/>
  <c r="AM21" i="1"/>
  <c r="AM27" i="1"/>
  <c r="AM28" i="1"/>
  <c r="AN26" i="1"/>
  <c r="AN24" i="1"/>
  <c r="AN21" i="1"/>
  <c r="AN27" i="1"/>
  <c r="AN28" i="1"/>
  <c r="AO26" i="1"/>
  <c r="AO24" i="1"/>
  <c r="AO21" i="1"/>
  <c r="AO27" i="1"/>
  <c r="AO28" i="1"/>
  <c r="AP26" i="1"/>
  <c r="AP24" i="1"/>
  <c r="AP21" i="1"/>
  <c r="AP27" i="1"/>
  <c r="AP28" i="1"/>
  <c r="AQ26" i="1"/>
  <c r="AQ24" i="1"/>
  <c r="AQ21" i="1"/>
  <c r="AQ27" i="1"/>
  <c r="AQ28" i="1"/>
  <c r="AR28" i="1"/>
  <c r="AR27" i="1"/>
  <c r="AR26" i="1"/>
  <c r="AJ26" i="1"/>
  <c r="AQ12" i="1"/>
  <c r="AP12" i="1"/>
  <c r="AO12" i="1"/>
  <c r="AN12" i="1"/>
  <c r="AM12" i="1"/>
  <c r="AL12" i="1"/>
</calcChain>
</file>

<file path=xl/sharedStrings.xml><?xml version="1.0" encoding="utf-8"?>
<sst xmlns="http://schemas.openxmlformats.org/spreadsheetml/2006/main" count="2602" uniqueCount="388">
  <si>
    <t>United States Steel Corporation | Income Statement</t>
  </si>
  <si>
    <t>(MI KEY: 4009384; SPCIQ KEY: 314896)</t>
  </si>
  <si>
    <t>Source: S&amp;P Capital IQ - Standard</t>
  </si>
  <si>
    <t>Period Category: Fiscal</t>
  </si>
  <si>
    <t>Period Type: Years</t>
  </si>
  <si>
    <t>Reporting Basis: Current/Restated</t>
  </si>
  <si>
    <t>Sort Order: Latest on Right</t>
  </si>
  <si>
    <t>Currency: U.S. Dollar (USD)</t>
  </si>
  <si>
    <t>Max Year:</t>
  </si>
  <si>
    <t>Magnitude: Thousands (K)</t>
  </si>
  <si>
    <t>Min Year:</t>
  </si>
  <si>
    <t>Total # of Years:</t>
  </si>
  <si>
    <t>S&amp;P Capital IQ - Standard</t>
  </si>
  <si>
    <t>1990 FY</t>
  </si>
  <si>
    <t>1991 FY</t>
  </si>
  <si>
    <t>1992 FY</t>
  </si>
  <si>
    <t>1993 FY</t>
  </si>
  <si>
    <t>1994 FY</t>
  </si>
  <si>
    <t>1995 FY</t>
  </si>
  <si>
    <t>1996 FY</t>
  </si>
  <si>
    <t>1997 FY</t>
  </si>
  <si>
    <t>1998 FY</t>
  </si>
  <si>
    <t>1999 FY</t>
  </si>
  <si>
    <t>2000 FY</t>
  </si>
  <si>
    <t>2001 FY</t>
  </si>
  <si>
    <t>2002 FY</t>
  </si>
  <si>
    <t>2003 FY</t>
  </si>
  <si>
    <t>2004 FY</t>
  </si>
  <si>
    <t>2005 FY</t>
  </si>
  <si>
    <t>2006 FY</t>
  </si>
  <si>
    <t>2007 FY</t>
  </si>
  <si>
    <t>2008 FY</t>
  </si>
  <si>
    <t>2009 FY</t>
  </si>
  <si>
    <t>2010 FY</t>
  </si>
  <si>
    <t>2011 FY</t>
  </si>
  <si>
    <t>2012 FY</t>
  </si>
  <si>
    <t>2013 FY</t>
  </si>
  <si>
    <t>2014 FY</t>
  </si>
  <si>
    <t>2015 FY</t>
  </si>
  <si>
    <t>2016 FY</t>
  </si>
  <si>
    <t>2017 FY</t>
  </si>
  <si>
    <t>2018 FY</t>
  </si>
  <si>
    <t>2019 FY</t>
  </si>
  <si>
    <t>2020 FY</t>
  </si>
  <si>
    <t>2021 FY</t>
  </si>
  <si>
    <t>2022 FY</t>
  </si>
  <si>
    <t>2023 FY</t>
  </si>
  <si>
    <t>2024 FY</t>
  </si>
  <si>
    <r>
      <t>Avg (FY90-2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</si>
  <si>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Avg (FY2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-2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</si>
  <si>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Avg (FY21-2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</si>
  <si>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 xml:space="preserve"> </t>
  </si>
  <si>
    <t>Current/Restated</t>
  </si>
  <si>
    <t>Period Ended</t>
  </si>
  <si>
    <t>Financial Filing Date</t>
  </si>
  <si>
    <t>Spot Exchange Rate</t>
  </si>
  <si>
    <t>Average Exchange Rate</t>
  </si>
  <si>
    <t>($000)</t>
  </si>
  <si>
    <t>Revenue</t>
  </si>
  <si>
    <t>Other Revenue</t>
  </si>
  <si>
    <t xml:space="preserve">        Total Revenue</t>
  </si>
  <si>
    <t>Cost Of Goods Sold</t>
  </si>
  <si>
    <t xml:space="preserve">        Gross Profit</t>
  </si>
  <si>
    <t>Selling General &amp; Admin Exp.</t>
  </si>
  <si>
    <t>Depreciation &amp; Amort.</t>
  </si>
  <si>
    <t>Other Operating Expense</t>
  </si>
  <si>
    <t xml:space="preserve">        Other Operating Exp., Total</t>
  </si>
  <si>
    <t xml:space="preserve">        Operating Income</t>
  </si>
  <si>
    <t>Interest Expense</t>
  </si>
  <si>
    <t>Interest and Invest. Income</t>
  </si>
  <si>
    <t xml:space="preserve">        Net Interest Exp.</t>
  </si>
  <si>
    <t>Income from Affiliates</t>
  </si>
  <si>
    <t>Currency Exchange Gains</t>
  </si>
  <si>
    <t>Other Non-Operating Inc.</t>
  </si>
  <si>
    <t xml:space="preserve">        EBT Excl Unusual Items</t>
  </si>
  <si>
    <t>Restructuring Charges</t>
  </si>
  <si>
    <t>Impairment of Goodwill</t>
  </si>
  <si>
    <t>Gain (Loss) On Sale Of Invest.</t>
  </si>
  <si>
    <t>Gain (Loss) On Sale Of Assets</t>
  </si>
  <si>
    <t>Asset Writedown</t>
  </si>
  <si>
    <t>Legal Settlements</t>
  </si>
  <si>
    <t>Other Unusual Items</t>
  </si>
  <si>
    <t xml:space="preserve">        EBT Incl. Unusual Items</t>
  </si>
  <si>
    <t>Income Tax Expense</t>
  </si>
  <si>
    <t xml:space="preserve">        Earnings from Cont. Ops.</t>
  </si>
  <si>
    <t>Extraord. Item &amp; Account. Change</t>
  </si>
  <si>
    <t xml:space="preserve">        Net Income to Company</t>
  </si>
  <si>
    <t>Minority Int. in Earnings</t>
  </si>
  <si>
    <t xml:space="preserve">        Net Income</t>
  </si>
  <si>
    <t>Pref. Dividends and Other Adj.</t>
  </si>
  <si>
    <t xml:space="preserve">        NI to Common Incl Extra Items</t>
  </si>
  <si>
    <t xml:space="preserve">        NI to Common Excl. Extra Items</t>
  </si>
  <si>
    <t>Per Share Items ($)</t>
  </si>
  <si>
    <t>Basic EPS</t>
  </si>
  <si>
    <t>Basic EPS Excl. Extra Items</t>
  </si>
  <si>
    <t>Weighted Avg. Basic Shares Out. (actual)</t>
  </si>
  <si>
    <t>Diluted EPS Incl. Extra Items</t>
  </si>
  <si>
    <t>Diluted EPS Excl. Extra Items</t>
  </si>
  <si>
    <t>Weighted Avg. Diluted Shares Out. (actual)</t>
  </si>
  <si>
    <t>Normalized Basic EPS</t>
  </si>
  <si>
    <t>Normalized Diluted EPS</t>
  </si>
  <si>
    <t>Dividends per Share</t>
  </si>
  <si>
    <t>Payout Ratio (%)</t>
  </si>
  <si>
    <t>NM</t>
  </si>
  <si>
    <t>Shares per Depositary Receipt (actual)</t>
  </si>
  <si>
    <t>Supplemental Items ($000)</t>
  </si>
  <si>
    <t>EBITDA</t>
  </si>
  <si>
    <t>EBITA</t>
  </si>
  <si>
    <t>EBIT</t>
  </si>
  <si>
    <t>EBITDAR</t>
  </si>
  <si>
    <t>As Reported Total Revenue</t>
  </si>
  <si>
    <t>Effective Tax Rate (%)</t>
  </si>
  <si>
    <t>Current Domestic Taxes</t>
  </si>
  <si>
    <t>Current Foreign Taxes</t>
  </si>
  <si>
    <t>Total Current Taxes</t>
  </si>
  <si>
    <t>Deferred Domestic Taxes</t>
  </si>
  <si>
    <t>Deferred Foreign Taxes</t>
  </si>
  <si>
    <t>Total Deferred Taxes</t>
  </si>
  <si>
    <t>Normalized Net Income</t>
  </si>
  <si>
    <t>NI per SFAS 123 (after Options)</t>
  </si>
  <si>
    <t>Interest on Long-term Debt</t>
  </si>
  <si>
    <t>Non-Cash Pension Expense</t>
  </si>
  <si>
    <t>Supplemental Operating Expense Items ($000)</t>
  </si>
  <si>
    <t>R&amp;D Expense</t>
  </si>
  <si>
    <t>Net Rental Expense, Total</t>
  </si>
  <si>
    <t>Imputed Oper. Lease Interest Exp.</t>
  </si>
  <si>
    <t>Imputed Oper. Lease Depreciation</t>
  </si>
  <si>
    <t>Stock-Based Comp., COGS</t>
  </si>
  <si>
    <t>Stock-Based Comp., SG&amp;A Exp.</t>
  </si>
  <si>
    <t>Stock-Based Comp., Unallocated</t>
  </si>
  <si>
    <t xml:space="preserve">        Stock-Based Comp., Total</t>
  </si>
  <si>
    <t>CIQ Restatement Type Code</t>
  </si>
  <si>
    <t>O</t>
  </si>
  <si>
    <t>NC</t>
  </si>
  <si>
    <t>RC</t>
  </si>
  <si>
    <t>RS</t>
  </si>
  <si>
    <t>CIQ Calculation Type Code</t>
  </si>
  <si>
    <t>REP</t>
  </si>
  <si>
    <t>Options Outstanding</t>
  </si>
  <si>
    <t>Options Out. at the Begin of Period, Common Stock</t>
  </si>
  <si>
    <t>Options Granted During the Period, Common Stock</t>
  </si>
  <si>
    <t>Options Exercised During the Period, Common Stock</t>
  </si>
  <si>
    <t>Options Cancelled During the Period, Common Stock</t>
  </si>
  <si>
    <t>Options Out. at the End of Period, Common Stock</t>
  </si>
  <si>
    <t>Options Wtd Avg Strike Price of Outstd, Comm Stock ($)</t>
  </si>
  <si>
    <t>Wtd Avg Strike Price of Granted, Comm Stock ($)</t>
  </si>
  <si>
    <t>Options Outstanding - All Classes</t>
  </si>
  <si>
    <t>Options Out. at the Beginning of the Period, Total</t>
  </si>
  <si>
    <t>Options Granted During the Period, Total</t>
  </si>
  <si>
    <t>Options Exercised During the Period, Total</t>
  </si>
  <si>
    <t>Options Cancelled During the Period, Total</t>
  </si>
  <si>
    <t>Options Out. at the End of the Period, Total</t>
  </si>
  <si>
    <t>Stock Based Compensation ($000)</t>
  </si>
  <si>
    <t>Stock Based Comp. Exp., Before Tax</t>
  </si>
  <si>
    <t>Stock Based Comp. Exp. Tax Effect</t>
  </si>
  <si>
    <t>Stock Based Comp. Exp., After Tax</t>
  </si>
  <si>
    <t>Capitalized Interest Data ($000)</t>
  </si>
  <si>
    <t>Interest Capitalized During the Period</t>
  </si>
  <si>
    <t>United States Steel Corporation | Balance Sheet</t>
  </si>
  <si>
    <t>Reported Currency Code</t>
  </si>
  <si>
    <t>USD</t>
  </si>
  <si>
    <t>Assets ($000)</t>
  </si>
  <si>
    <t>Cash and Equivalents</t>
  </si>
  <si>
    <t>NA</t>
  </si>
  <si>
    <t xml:space="preserve">        Cash &amp; Short-term Investments</t>
  </si>
  <si>
    <t>Accounts Receivable</t>
  </si>
  <si>
    <t>Other Receivables</t>
  </si>
  <si>
    <t xml:space="preserve">        Total Receivables</t>
  </si>
  <si>
    <t>Inventory</t>
  </si>
  <si>
    <t>Deferred Tax Assets, Curr.</t>
  </si>
  <si>
    <t>Restricted Cash</t>
  </si>
  <si>
    <t>Other Current Assets</t>
  </si>
  <si>
    <t xml:space="preserve">        Total Current Assets</t>
  </si>
  <si>
    <t>Gross Property, Plant &amp; Equipment</t>
  </si>
  <si>
    <t>Accumulated Depreciation</t>
  </si>
  <si>
    <t xml:space="preserve">        Net Property, Plant &amp; Equipment</t>
  </si>
  <si>
    <t>Long-term Investments</t>
  </si>
  <si>
    <t>Goodwill</t>
  </si>
  <si>
    <t>Other Intangibles</t>
  </si>
  <si>
    <t>Accounts Receivable Long-term</t>
  </si>
  <si>
    <t>Loans Receivable Long-term</t>
  </si>
  <si>
    <t>Deferred Tax Assets, LT</t>
  </si>
  <si>
    <t>Other Long-term Assets</t>
  </si>
  <si>
    <t>Total Assets</t>
  </si>
  <si>
    <t>Liabilities ($000)</t>
  </si>
  <si>
    <t>Accounts Payable</t>
  </si>
  <si>
    <t>Accrued Exp.</t>
  </si>
  <si>
    <t>Short-term Borrowings</t>
  </si>
  <si>
    <t>Curr. Port. of Long-term Debt</t>
  </si>
  <si>
    <t>Current Portion of Leases</t>
  </si>
  <si>
    <t>Curr. Income Taxes Payable</t>
  </si>
  <si>
    <t>Def. Tax Liability, Curr.</t>
  </si>
  <si>
    <t>Other Current Liabilities</t>
  </si>
  <si>
    <t xml:space="preserve">        Total Current Liabilities</t>
  </si>
  <si>
    <t>Long-term Debt</t>
  </si>
  <si>
    <t>Long-term Leases</t>
  </si>
  <si>
    <t>Pension &amp; Other Post-Retire. Benefits</t>
  </si>
  <si>
    <t>Def. Tax Liability, Non-Curr.</t>
  </si>
  <si>
    <t>Other Non-Current Liabilities</t>
  </si>
  <si>
    <t>Total Liabilities</t>
  </si>
  <si>
    <t>Equity ($000)</t>
  </si>
  <si>
    <t>Pref. Stock, Redeemable</t>
  </si>
  <si>
    <t>Pref. Stock, Convertible</t>
  </si>
  <si>
    <t xml:space="preserve">        Total Preferred Equity</t>
  </si>
  <si>
    <t>Common Stock</t>
  </si>
  <si>
    <t>Additional Paid In Capital</t>
  </si>
  <si>
    <t>Retained Earnings</t>
  </si>
  <si>
    <t>Treasury Stock</t>
  </si>
  <si>
    <t>Comprehensive Inc. and Other</t>
  </si>
  <si>
    <t xml:space="preserve">        Total Common Equity</t>
  </si>
  <si>
    <t>Total Minority Interest</t>
  </si>
  <si>
    <t>Total Equity</t>
  </si>
  <si>
    <t>Total Liabilities And Equity</t>
  </si>
  <si>
    <t>Supplemental Items ($)</t>
  </si>
  <si>
    <t>ECS Total Shares Outstanding on Filing Date (actual)</t>
  </si>
  <si>
    <t>ECS Total Common Shares Outstanding (actual)</t>
  </si>
  <si>
    <t>Book Value per Share</t>
  </si>
  <si>
    <t>Tangible Book Value</t>
  </si>
  <si>
    <t>Tangible Book Value per Share</t>
  </si>
  <si>
    <t>Total Debt</t>
  </si>
  <si>
    <t>Net Debt</t>
  </si>
  <si>
    <t>Debt Equiv. of Unfunded Proj. Benefit Obligation</t>
  </si>
  <si>
    <t>Debt Equivalent Oper. Leases</t>
  </si>
  <si>
    <t>Equity Method Investments</t>
  </si>
  <si>
    <t>LIFO Reserve</t>
  </si>
  <si>
    <t>Raw Materials Inventory</t>
  </si>
  <si>
    <t>Work in Progress Inventory</t>
  </si>
  <si>
    <t>Finished Goods Inventory</t>
  </si>
  <si>
    <t>Other Inventory Accounts</t>
  </si>
  <si>
    <t>Land</t>
  </si>
  <si>
    <t>Buildings</t>
  </si>
  <si>
    <t>Machinery</t>
  </si>
  <si>
    <t>Construction in Progress</t>
  </si>
  <si>
    <t>Full Time Employees (actual)</t>
  </si>
  <si>
    <t>Assets under Capital Lease - Gross</t>
  </si>
  <si>
    <t>Assets under Cap. Lease, Accum. Depr.</t>
  </si>
  <si>
    <t>Accumulated Allowance for Doubtful Accounts</t>
  </si>
  <si>
    <t>NV</t>
  </si>
  <si>
    <t>RUP</t>
  </si>
  <si>
    <t>Loss Carry Forward Related Items ($000)</t>
  </si>
  <si>
    <t>Tax Benefit Carryforward, After Five Years</t>
  </si>
  <si>
    <t>Total Tax Benefit Carryforward</t>
  </si>
  <si>
    <t>Adoption of FIN 48 Related Items ($000)</t>
  </si>
  <si>
    <t>Unrecog. Tax Benefits, Beginning of the Period</t>
  </si>
  <si>
    <t>Additions Based on Tax Positions - Current Yr.</t>
  </si>
  <si>
    <t>Additions for Tax Positions - Prior Yrs</t>
  </si>
  <si>
    <t>Reductions for Tax Positions - Prior Yrs</t>
  </si>
  <si>
    <t>Settlements with Tax Authorities</t>
  </si>
  <si>
    <t>Lapse of Statute of Limitations</t>
  </si>
  <si>
    <t>Unrecog. Tax Benefits, End of the Period</t>
  </si>
  <si>
    <t>Interest and Penalties Recog. on BS - Before Tax</t>
  </si>
  <si>
    <t>Unrecog. Tax Benefit Impacting Effective Tax Rate</t>
  </si>
  <si>
    <t>Fair Value Measurements ($000)</t>
  </si>
  <si>
    <t>Level 1 Assets - Quoted Prices</t>
  </si>
  <si>
    <t>Level 2 Assets - Observable Prices</t>
  </si>
  <si>
    <t>Level 3 Assets - Unobservable Prices</t>
  </si>
  <si>
    <t>Fair Value of Assets</t>
  </si>
  <si>
    <t>Level 2 Liabilities - Observable Prices</t>
  </si>
  <si>
    <t>Level 3 Liabilities - Unobservable Prices</t>
  </si>
  <si>
    <t>Fair Value of Liabilities</t>
  </si>
  <si>
    <t>United States Steel Corporation | Cash Flow</t>
  </si>
  <si>
    <t>Operating Activities ($000)</t>
  </si>
  <si>
    <t>Net Income - CF</t>
  </si>
  <si>
    <t>Amort. of Goodwill and Intangibles</t>
  </si>
  <si>
    <t xml:space="preserve">        Depreciation &amp; Amort., Total</t>
  </si>
  <si>
    <t>(Gain) Loss From Sale Of Assets</t>
  </si>
  <si>
    <t>Loss On Sale Of Investment</t>
  </si>
  <si>
    <t>Asset Writedown &amp; Restructuring Costs</t>
  </si>
  <si>
    <t>Loss on Equity Investment</t>
  </si>
  <si>
    <t>Provision &amp; Write-off of Bad debts</t>
  </si>
  <si>
    <t>Other Operating Activities</t>
  </si>
  <si>
    <t>Change in Acc. Receivable</t>
  </si>
  <si>
    <t>Change In Inventories</t>
  </si>
  <si>
    <t>Change in Acc. Payable</t>
  </si>
  <si>
    <t>Change In Income Taxes</t>
  </si>
  <si>
    <t>Change in Other Net Operating Assets</t>
  </si>
  <si>
    <t xml:space="preserve">        Cash from Ops.</t>
  </si>
  <si>
    <t>Investing Activity ($000)</t>
  </si>
  <si>
    <t>Capital Expenditure</t>
  </si>
  <si>
    <t>Sale of Property, Plant and Equipment</t>
  </si>
  <si>
    <t>Cash Acquisitions</t>
  </si>
  <si>
    <t>Divestitures</t>
  </si>
  <si>
    <t>Invest. in Marketable &amp; Equity Securt.</t>
  </si>
  <si>
    <t>Net (Inc.) Dec. in Loans Orig/Sold: Investing</t>
  </si>
  <si>
    <t>Other Investing Activities</t>
  </si>
  <si>
    <t xml:space="preserve">        Cash from Investing</t>
  </si>
  <si>
    <t>Financing Activity ($000)</t>
  </si>
  <si>
    <t>Short-term Debt Issued</t>
  </si>
  <si>
    <t>Long-term Debt Issued</t>
  </si>
  <si>
    <t xml:space="preserve">        Total Debt Issued</t>
  </si>
  <si>
    <t>Short-term Debt Repaid</t>
  </si>
  <si>
    <t>Long-term Debt Repaid</t>
  </si>
  <si>
    <t xml:space="preserve">        Total Debt Repaid</t>
  </si>
  <si>
    <t>Issuance of Common Stock</t>
  </si>
  <si>
    <t>Repurchase of Common Stock</t>
  </si>
  <si>
    <t>Issuance of Pref. Stock</t>
  </si>
  <si>
    <t>Repurchase of Preferred Stock</t>
  </si>
  <si>
    <t>Common Dividends Paid</t>
  </si>
  <si>
    <t>Pref. Dividends Paid</t>
  </si>
  <si>
    <t>Common and/or Pref. Dividends Paid</t>
  </si>
  <si>
    <t xml:space="preserve">        Total Dividends Paid</t>
  </si>
  <si>
    <t>Other Financing Activities</t>
  </si>
  <si>
    <t xml:space="preserve">        Cash from Financing</t>
  </si>
  <si>
    <t>Other Cash Flow ($000)</t>
  </si>
  <si>
    <t>Foreign Exchange Rate Adj.</t>
  </si>
  <si>
    <t xml:space="preserve">        Net Change in Cash</t>
  </si>
  <si>
    <t>Cash Interest Paid</t>
  </si>
  <si>
    <t>Cash Taxes Paid</t>
  </si>
  <si>
    <t>Levered Free Cash Flow</t>
  </si>
  <si>
    <t>Unlevered Free Cash Flow</t>
  </si>
  <si>
    <t>Change in Net Working Capital</t>
  </si>
  <si>
    <t>Net Debt Issued</t>
  </si>
  <si>
    <t>United States Steel Corporation | Financial Highlights</t>
  </si>
  <si>
    <t>FY1990</t>
  </si>
  <si>
    <t>FY1991</t>
  </si>
  <si>
    <t>FY1992</t>
  </si>
  <si>
    <t>FY1993</t>
  </si>
  <si>
    <t>FY1994</t>
  </si>
  <si>
    <t>FY1995</t>
  </si>
  <si>
    <t>FY1996</t>
  </si>
  <si>
    <t>FY1997</t>
  </si>
  <si>
    <t>FY1998</t>
  </si>
  <si>
    <t>FY1999</t>
  </si>
  <si>
    <t>FY2000</t>
  </si>
  <si>
    <t>FY2001</t>
  </si>
  <si>
    <t>FY2002</t>
  </si>
  <si>
    <t>FY2003</t>
  </si>
  <si>
    <t>FY2004</t>
  </si>
  <si>
    <t>FY2005</t>
  </si>
  <si>
    <t>FY2006</t>
  </si>
  <si>
    <t>FY2007</t>
  </si>
  <si>
    <t>FY2008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</si>
  <si>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</si>
  <si>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</si>
  <si>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</si>
  <si>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</si>
  <si>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</si>
  <si>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</si>
  <si>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</si>
  <si>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</si>
  <si>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</si>
  <si>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</si>
  <si>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</si>
  <si>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</si>
  <si>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</si>
  <si>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</si>
  <si>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</si>
  <si>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</si>
  <si>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Balance Sheet ($000)</t>
  </si>
  <si>
    <t>Cash &amp; Short-term Investments</t>
  </si>
  <si>
    <t>Net Property, Plant &amp; Equipment</t>
  </si>
  <si>
    <t>Total Preferred Equity</t>
  </si>
  <si>
    <t>Total Common Equity</t>
  </si>
  <si>
    <t>Current Ratio (x)</t>
  </si>
  <si>
    <t>Quick Ratio (x)</t>
  </si>
  <si>
    <t>Total Debt/Equity (%)</t>
  </si>
  <si>
    <t>Total Debt / Total Capital (%)</t>
  </si>
  <si>
    <t>Total Debt / EBITDA (x)</t>
  </si>
  <si>
    <t>Income Statement ($000)</t>
  </si>
  <si>
    <t>Total Revenue</t>
  </si>
  <si>
    <t>Gross Profit</t>
  </si>
  <si>
    <t>Earnings from Cont. Ops.</t>
  </si>
  <si>
    <t>Net Income</t>
  </si>
  <si>
    <t>EBITDA / Interest Expense (x)</t>
  </si>
  <si>
    <t>EBIT / Interest Expense (x)</t>
  </si>
  <si>
    <t>Avg. Days Sales Out.</t>
  </si>
  <si>
    <t>Avg. Days Inventory Out.</t>
  </si>
  <si>
    <t>Accounts Receivable Turnover (x)</t>
  </si>
  <si>
    <t>Inventory Turnover (x)</t>
  </si>
  <si>
    <t>Fixed Asset Turnover (x)</t>
  </si>
  <si>
    <t>Total Asset Turnover (x)</t>
  </si>
  <si>
    <t>Cash Flow ($000)</t>
  </si>
  <si>
    <t>Cash from Ops.</t>
  </si>
  <si>
    <t>Cash from Investing</t>
  </si>
  <si>
    <t>Cash from Financing</t>
  </si>
  <si>
    <t>Net Change in Cash</t>
  </si>
  <si>
    <t>Cash from Ops. to Curr. Liab. (x)</t>
  </si>
  <si>
    <t>Profitability (%)</t>
  </si>
  <si>
    <t>Return on Assets</t>
  </si>
  <si>
    <t>Return on Capital</t>
  </si>
  <si>
    <t>Return on Equity</t>
  </si>
  <si>
    <t>Return on Common Equity</t>
  </si>
  <si>
    <t>Gross Profit Margin</t>
  </si>
  <si>
    <t>Net Income Margin</t>
  </si>
  <si>
    <t>Earnings from Cont Ops Margin</t>
  </si>
  <si>
    <t>EBITDA Margin</t>
  </si>
  <si>
    <t>EBIT Margin</t>
  </si>
  <si>
    <t>Per Share Information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</si>
</sst>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0;[Red]\(#,##0.000000\)"/>
    <numFmt numFmtId="165" formatCode="#,##0;[Red]\(#,##0\)"/>
    <numFmt numFmtId="166" formatCode="&quot;$&quot;#,##0"/>
    <numFmt numFmtId="167" formatCode="#,##0.00;[Red]\(#,##0.00\)"/>
    <numFmt numFmtId="168" formatCode="#,##0.0;[Red]\(#,##0.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sz val="11"/>
      <color rgb="FF008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/>
    </xf>
    <xf numFmtId="0" fontId="0" fillId="0" borderId="1" xfId="0" applyBorder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right" vertical="top" wrapText="1"/>
    </xf>
    <xf numFmtId="0" fontId="5" fillId="3" borderId="2" xfId="0" applyFont="1" applyFill="1" applyBorder="1" applyAlignment="1">
      <alignment horizontal="righ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top" wrapText="1"/>
    </xf>
    <xf numFmtId="0" fontId="0" fillId="2" borderId="0" xfId="0" applyFill="1" applyAlignment="1">
      <alignment horizontal="right" vertical="top" wrapText="1"/>
    </xf>
    <xf numFmtId="14" fontId="0" fillId="0" borderId="0" xfId="0" applyNumberFormat="1" applyAlignment="1">
      <alignment horizontal="right" vertical="top" wrapText="1"/>
    </xf>
    <xf numFmtId="14" fontId="0" fillId="2" borderId="0" xfId="0" applyNumberFormat="1" applyFill="1" applyAlignment="1">
      <alignment horizontal="right" vertical="top" wrapText="1"/>
    </xf>
    <xf numFmtId="164" fontId="0" fillId="0" borderId="0" xfId="0" applyNumberFormat="1" applyAlignment="1">
      <alignment horizontal="right" vertical="top" wrapText="1"/>
    </xf>
    <xf numFmtId="164" fontId="0" fillId="2" borderId="0" xfId="0" applyNumberFormat="1" applyFill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165" fontId="0" fillId="0" borderId="0" xfId="0" applyNumberFormat="1" applyAlignment="1">
      <alignment horizontal="right" vertical="top" wrapText="1"/>
    </xf>
    <xf numFmtId="165" fontId="0" fillId="2" borderId="0" xfId="0" applyNumberFormat="1" applyFill="1" applyAlignment="1">
      <alignment horizontal="right" vertical="top" wrapText="1"/>
    </xf>
    <xf numFmtId="166" fontId="0" fillId="0" borderId="0" xfId="0" applyNumberFormat="1"/>
    <xf numFmtId="10" fontId="0" fillId="0" borderId="0" xfId="1" applyNumberFormat="1" applyFont="1" applyFill="1" applyAlignment="1">
      <alignment horizontal="right" vertical="top" wrapText="1"/>
    </xf>
    <xf numFmtId="10" fontId="0" fillId="2" borderId="0" xfId="1" applyNumberFormat="1" applyFont="1" applyFill="1" applyAlignment="1">
      <alignment horizontal="right" vertical="top" wrapText="1"/>
    </xf>
    <xf numFmtId="9" fontId="0" fillId="0" borderId="0" xfId="1" applyFont="1"/>
    <xf numFmtId="9" fontId="0" fillId="0" borderId="0" xfId="0" applyNumberFormat="1"/>
    <xf numFmtId="167" fontId="0" fillId="0" borderId="0" xfId="0" applyNumberFormat="1" applyAlignment="1">
      <alignment horizontal="right" vertical="top" wrapText="1"/>
    </xf>
    <xf numFmtId="167" fontId="0" fillId="2" borderId="0" xfId="0" applyNumberFormat="1" applyFill="1" applyAlignment="1">
      <alignment horizontal="right" vertical="top" wrapText="1"/>
    </xf>
    <xf numFmtId="165" fontId="3" fillId="0" borderId="0" xfId="0" applyNumberFormat="1" applyFont="1" applyAlignment="1">
      <alignment horizontal="right" vertical="top" wrapText="1"/>
    </xf>
    <xf numFmtId="165" fontId="3" fillId="2" borderId="0" xfId="0" applyNumberFormat="1" applyFont="1" applyFill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B26DAD36-12D1-4C6D-A171-BE93122D1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A64071FF-D117-4046-B57C-89A71546B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27C58325-6E5B-4703-A888-BD20B6D9F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863E3C11-DBA7-4A28-9DEC-5E1EFF9C2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D3AA-33A2-4DC4-AE0F-BD28D27B936A}">
  <sheetPr>
    <tabColor theme="5"/>
  </sheetPr>
  <dimension ref="A1:AR118"/>
  <sheetViews>
    <sheetView tabSelected="1" workbookViewId="0">
      <pane xSplit="1" ySplit="9" topLeftCell="B10" activePane="bottomRight" state="frozen"/>
      <selection activeCell="D14" sqref="D14:AJ53"/>
      <selection pane="topRight" activeCell="D14" sqref="D14:AJ53"/>
      <selection pane="bottomLeft" activeCell="D14" sqref="D14:AJ53"/>
      <selection pane="bottomRight" activeCell="D14" sqref="D14:AJ53"/>
    </sheetView>
  </sheetViews>
  <sheetFormatPr defaultRowHeight="15" x14ac:dyDescent="0.25"/>
  <cols>
    <col min="1" max="1" width="48.5703125" customWidth="1"/>
    <col min="2" max="34" width="16.140625" customWidth="1"/>
    <col min="35" max="35" width="16.140625" style="2" customWidth="1"/>
    <col min="36" max="37" width="16.140625" customWidth="1"/>
    <col min="38" max="38" width="15.42578125" bestFit="1" customWidth="1"/>
    <col min="39" max="41" width="15.28515625" customWidth="1"/>
    <col min="42" max="43" width="14.85546875" bestFit="1" customWidth="1"/>
  </cols>
  <sheetData>
    <row r="1" spans="1:43" ht="39.950000000000003" customHeight="1" x14ac:dyDescent="0.25">
      <c r="A1" s="1"/>
      <c r="B1" s="1"/>
      <c r="C1" s="1"/>
      <c r="D1" s="1"/>
    </row>
    <row r="2" spans="1:43" ht="30" customHeight="1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/>
      <c r="AJ2" s="3"/>
      <c r="AK2" s="3"/>
    </row>
    <row r="3" spans="1:43" x14ac:dyDescent="0.25">
      <c r="A3" s="5" t="s">
        <v>1</v>
      </c>
    </row>
    <row r="5" spans="1:43" x14ac:dyDescent="0.25">
      <c r="A5" s="5" t="s">
        <v>2</v>
      </c>
      <c r="B5" s="6"/>
    </row>
    <row r="6" spans="1:43" x14ac:dyDescent="0.25">
      <c r="A6" s="5" t="s">
        <v>3</v>
      </c>
      <c r="B6" s="6"/>
    </row>
    <row r="7" spans="1:43" x14ac:dyDescent="0.25">
      <c r="A7" s="5" t="s">
        <v>4</v>
      </c>
      <c r="B7" s="6"/>
    </row>
    <row r="8" spans="1:43" x14ac:dyDescent="0.25">
      <c r="A8" s="5" t="s">
        <v>5</v>
      </c>
      <c r="B8" s="6"/>
    </row>
    <row r="9" spans="1:43" x14ac:dyDescent="0.25">
      <c r="A9" s="5" t="s">
        <v>6</v>
      </c>
      <c r="B9" s="6"/>
    </row>
    <row r="10" spans="1:43" x14ac:dyDescent="0.25">
      <c r="A10" s="5" t="s">
        <v>7</v>
      </c>
      <c r="B10" s="6"/>
      <c r="AK10" s="7" t="s">
        <v>8</v>
      </c>
      <c r="AL10">
        <v>2023</v>
      </c>
      <c r="AM10">
        <v>2023</v>
      </c>
      <c r="AN10">
        <v>2023</v>
      </c>
      <c r="AO10">
        <v>2023</v>
      </c>
      <c r="AP10">
        <v>2023</v>
      </c>
      <c r="AQ10">
        <v>2023</v>
      </c>
    </row>
    <row r="11" spans="1:43" x14ac:dyDescent="0.25">
      <c r="A11" s="5" t="s">
        <v>9</v>
      </c>
      <c r="B11" s="6"/>
      <c r="AK11" s="7" t="s">
        <v>10</v>
      </c>
      <c r="AL11">
        <v>1990</v>
      </c>
      <c r="AM11">
        <v>1994</v>
      </c>
      <c r="AN11">
        <v>2004</v>
      </c>
      <c r="AO11">
        <v>2014</v>
      </c>
      <c r="AP11">
        <v>2019</v>
      </c>
      <c r="AQ11">
        <v>2021</v>
      </c>
    </row>
    <row r="12" spans="1:43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 t="s">
        <v>11</v>
      </c>
      <c r="AL12">
        <f t="shared" ref="AL12:AP12" si="0">(AL10-AL11)+1</f>
        <v>34</v>
      </c>
      <c r="AM12">
        <f t="shared" si="0"/>
        <v>30</v>
      </c>
      <c r="AN12">
        <f t="shared" si="0"/>
        <v>20</v>
      </c>
      <c r="AO12">
        <f t="shared" si="0"/>
        <v>10</v>
      </c>
      <c r="AP12">
        <f t="shared" si="0"/>
        <v>5</v>
      </c>
      <c r="AQ12">
        <f>(AQ10-AQ11)+1</f>
        <v>3</v>
      </c>
    </row>
    <row r="13" spans="1:43" x14ac:dyDescent="0.25">
      <c r="A13" s="10" t="s">
        <v>12</v>
      </c>
      <c r="B13" s="11" t="s">
        <v>13</v>
      </c>
      <c r="C13" s="12" t="s">
        <v>14</v>
      </c>
      <c r="D13" s="12" t="s">
        <v>15</v>
      </c>
      <c r="E13" s="12" t="s">
        <v>16</v>
      </c>
      <c r="F13" s="11" t="s">
        <v>17</v>
      </c>
      <c r="G13" s="12" t="s">
        <v>18</v>
      </c>
      <c r="H13" s="12" t="s">
        <v>19</v>
      </c>
      <c r="I13" s="12" t="s">
        <v>20</v>
      </c>
      <c r="J13" s="12" t="s">
        <v>21</v>
      </c>
      <c r="K13" s="12" t="s">
        <v>22</v>
      </c>
      <c r="L13" s="12" t="s">
        <v>23</v>
      </c>
      <c r="M13" s="12" t="s">
        <v>24</v>
      </c>
      <c r="N13" s="12" t="s">
        <v>25</v>
      </c>
      <c r="O13" s="12" t="s">
        <v>26</v>
      </c>
      <c r="P13" s="11" t="s">
        <v>27</v>
      </c>
      <c r="Q13" s="12" t="s">
        <v>28</v>
      </c>
      <c r="R13" s="12" t="s">
        <v>29</v>
      </c>
      <c r="S13" s="12" t="s">
        <v>30</v>
      </c>
      <c r="T13" s="12" t="s">
        <v>31</v>
      </c>
      <c r="U13" s="12" t="s">
        <v>32</v>
      </c>
      <c r="V13" s="12" t="s">
        <v>33</v>
      </c>
      <c r="W13" s="12" t="s">
        <v>34</v>
      </c>
      <c r="X13" s="12" t="s">
        <v>35</v>
      </c>
      <c r="Y13" s="12" t="s">
        <v>36</v>
      </c>
      <c r="Z13" s="11" t="s">
        <v>37</v>
      </c>
      <c r="AA13" s="12" t="s">
        <v>38</v>
      </c>
      <c r="AB13" s="12" t="s">
        <v>39</v>
      </c>
      <c r="AC13" s="12" t="s">
        <v>40</v>
      </c>
      <c r="AD13" s="12" t="s">
        <v>41</v>
      </c>
      <c r="AE13" s="11" t="s">
        <v>42</v>
      </c>
      <c r="AF13" s="12" t="s">
        <v>43</v>
      </c>
      <c r="AG13" s="11" t="s">
        <v>44</v>
      </c>
      <c r="AH13" s="12" t="s">
        <v>45</v>
      </c>
      <c r="AI13" s="11" t="s">
        <v>46</v>
      </c>
      <c r="AJ13" s="12" t="s">
        <v>47</v>
      </c>
      <c r="AK13" s="6"/>
      <c r="AL13" s="13" t="s">
        <v>48</v>
      </c>
      <c r="AM13" s="13"/>
      <c r="AN13" s="13"/>
      <c r="AO13" s="13"/>
      <c r="AP13" s="13" t="s">
        <v>49</v>
      </c>
      <c r="AQ13" s="13" t="s">
        <v>50</v>
      </c>
    </row>
    <row r="14" spans="1:43" ht="30" x14ac:dyDescent="0.25">
      <c r="A14" s="5" t="s">
        <v>51</v>
      </c>
      <c r="B14" s="14" t="s">
        <v>52</v>
      </c>
      <c r="C14" s="14" t="s">
        <v>52</v>
      </c>
      <c r="D14" s="14" t="s">
        <v>52</v>
      </c>
      <c r="E14" s="14" t="s">
        <v>52</v>
      </c>
      <c r="F14" s="14" t="s">
        <v>52</v>
      </c>
      <c r="G14" s="14" t="s">
        <v>52</v>
      </c>
      <c r="H14" s="14" t="s">
        <v>52</v>
      </c>
      <c r="I14" s="14" t="s">
        <v>52</v>
      </c>
      <c r="J14" s="14" t="s">
        <v>52</v>
      </c>
      <c r="K14" s="14" t="s">
        <v>52</v>
      </c>
      <c r="L14" s="14" t="s">
        <v>52</v>
      </c>
      <c r="M14" s="14" t="s">
        <v>52</v>
      </c>
      <c r="N14" s="14" t="s">
        <v>52</v>
      </c>
      <c r="O14" s="14" t="s">
        <v>52</v>
      </c>
      <c r="P14" s="14" t="s">
        <v>52</v>
      </c>
      <c r="Q14" s="14" t="s">
        <v>52</v>
      </c>
      <c r="R14" s="14" t="s">
        <v>52</v>
      </c>
      <c r="S14" s="14" t="s">
        <v>52</v>
      </c>
      <c r="T14" s="14" t="s">
        <v>52</v>
      </c>
      <c r="U14" s="14" t="s">
        <v>52</v>
      </c>
      <c r="V14" s="14" t="s">
        <v>52</v>
      </c>
      <c r="W14" s="14" t="s">
        <v>52</v>
      </c>
      <c r="X14" s="14" t="s">
        <v>52</v>
      </c>
      <c r="Y14" s="14" t="s">
        <v>52</v>
      </c>
      <c r="Z14" s="14" t="s">
        <v>52</v>
      </c>
      <c r="AA14" s="14" t="s">
        <v>52</v>
      </c>
      <c r="AB14" s="14" t="s">
        <v>52</v>
      </c>
      <c r="AC14" s="14" t="s">
        <v>52</v>
      </c>
      <c r="AD14" s="14" t="s">
        <v>52</v>
      </c>
      <c r="AE14" s="14" t="s">
        <v>52</v>
      </c>
      <c r="AF14" s="14" t="s">
        <v>52</v>
      </c>
      <c r="AG14" s="14" t="s">
        <v>52</v>
      </c>
      <c r="AH14" s="14" t="s">
        <v>52</v>
      </c>
      <c r="AI14" s="15" t="s">
        <v>52</v>
      </c>
      <c r="AJ14" s="14" t="s">
        <v>52</v>
      </c>
      <c r="AK14" s="14"/>
    </row>
    <row r="15" spans="1:43" x14ac:dyDescent="0.25">
      <c r="A15" s="5" t="s">
        <v>53</v>
      </c>
      <c r="B15" s="16">
        <v>33238</v>
      </c>
      <c r="C15" s="16">
        <v>33603</v>
      </c>
      <c r="D15" s="16">
        <v>33969</v>
      </c>
      <c r="E15" s="16">
        <v>34334</v>
      </c>
      <c r="F15" s="16">
        <v>34699</v>
      </c>
      <c r="G15" s="16">
        <v>35064</v>
      </c>
      <c r="H15" s="16">
        <v>35430</v>
      </c>
      <c r="I15" s="16">
        <v>35795</v>
      </c>
      <c r="J15" s="16">
        <v>36160</v>
      </c>
      <c r="K15" s="16">
        <v>36525</v>
      </c>
      <c r="L15" s="16">
        <v>36891</v>
      </c>
      <c r="M15" s="16">
        <v>37256</v>
      </c>
      <c r="N15" s="16">
        <v>37621</v>
      </c>
      <c r="O15" s="16">
        <v>37986</v>
      </c>
      <c r="P15" s="16">
        <v>38352</v>
      </c>
      <c r="Q15" s="16">
        <v>38717</v>
      </c>
      <c r="R15" s="16">
        <v>39082</v>
      </c>
      <c r="S15" s="16">
        <v>39447</v>
      </c>
      <c r="T15" s="16">
        <v>39813</v>
      </c>
      <c r="U15" s="16">
        <v>40178</v>
      </c>
      <c r="V15" s="16">
        <v>40543</v>
      </c>
      <c r="W15" s="16">
        <v>40908</v>
      </c>
      <c r="X15" s="16">
        <v>41274</v>
      </c>
      <c r="Y15" s="16">
        <v>41639</v>
      </c>
      <c r="Z15" s="16">
        <v>42004</v>
      </c>
      <c r="AA15" s="16">
        <v>42369</v>
      </c>
      <c r="AB15" s="16">
        <v>42735</v>
      </c>
      <c r="AC15" s="16">
        <v>43100</v>
      </c>
      <c r="AD15" s="16">
        <v>43465</v>
      </c>
      <c r="AE15" s="16">
        <v>43830</v>
      </c>
      <c r="AF15" s="16">
        <v>44196</v>
      </c>
      <c r="AG15" s="16">
        <v>44561</v>
      </c>
      <c r="AH15" s="16">
        <v>44926</v>
      </c>
      <c r="AI15" s="17">
        <v>45291</v>
      </c>
      <c r="AJ15" s="16">
        <v>45657</v>
      </c>
      <c r="AK15" s="16"/>
    </row>
    <row r="16" spans="1:43" x14ac:dyDescent="0.25">
      <c r="A16" s="5" t="s">
        <v>54</v>
      </c>
      <c r="B16" s="16">
        <v>34029</v>
      </c>
      <c r="C16" s="16">
        <v>34408</v>
      </c>
      <c r="D16" s="16">
        <v>34778</v>
      </c>
      <c r="E16" s="16">
        <v>35130</v>
      </c>
      <c r="F16" s="16">
        <v>35496</v>
      </c>
      <c r="G16" s="16">
        <v>35858</v>
      </c>
      <c r="H16" s="16">
        <v>36227</v>
      </c>
      <c r="I16" s="16">
        <v>36598</v>
      </c>
      <c r="J16" s="16">
        <v>36962</v>
      </c>
      <c r="K16" s="16">
        <v>37334</v>
      </c>
      <c r="L16" s="16">
        <v>37690</v>
      </c>
      <c r="M16" s="16">
        <v>38042</v>
      </c>
      <c r="N16" s="16">
        <v>38408</v>
      </c>
      <c r="O16" s="16">
        <v>38776</v>
      </c>
      <c r="P16" s="16">
        <v>39140</v>
      </c>
      <c r="Q16" s="16">
        <v>39505</v>
      </c>
      <c r="R16" s="16">
        <v>39868</v>
      </c>
      <c r="S16" s="16">
        <v>40233</v>
      </c>
      <c r="T16" s="16">
        <v>40596</v>
      </c>
      <c r="U16" s="16">
        <v>40967</v>
      </c>
      <c r="V16" s="16">
        <v>41320</v>
      </c>
      <c r="W16" s="16">
        <v>41695</v>
      </c>
      <c r="X16" s="16">
        <v>42059</v>
      </c>
      <c r="Y16" s="16">
        <v>42429</v>
      </c>
      <c r="Z16" s="16">
        <v>42794</v>
      </c>
      <c r="AA16" s="16">
        <v>43152</v>
      </c>
      <c r="AB16" s="16">
        <v>43511</v>
      </c>
      <c r="AC16" s="16">
        <v>43875</v>
      </c>
      <c r="AD16" s="16">
        <v>44239</v>
      </c>
      <c r="AE16" s="16">
        <v>44603</v>
      </c>
      <c r="AF16" s="16">
        <v>44960</v>
      </c>
      <c r="AG16" s="16">
        <v>45324</v>
      </c>
      <c r="AH16" s="16">
        <v>45688</v>
      </c>
      <c r="AI16" s="17">
        <v>45688</v>
      </c>
      <c r="AJ16" s="16">
        <v>45688</v>
      </c>
      <c r="AK16" s="16"/>
    </row>
    <row r="17" spans="1:44" x14ac:dyDescent="0.25">
      <c r="A17" s="5" t="s">
        <v>55</v>
      </c>
      <c r="B17" s="18">
        <v>1</v>
      </c>
      <c r="C17" s="18">
        <v>1</v>
      </c>
      <c r="D17" s="18">
        <v>1</v>
      </c>
      <c r="E17" s="18">
        <v>1</v>
      </c>
      <c r="F17" s="18">
        <v>1</v>
      </c>
      <c r="G17" s="18">
        <v>1</v>
      </c>
      <c r="H17" s="18">
        <v>1</v>
      </c>
      <c r="I17" s="18">
        <v>1</v>
      </c>
      <c r="J17" s="18">
        <v>1</v>
      </c>
      <c r="K17" s="18">
        <v>1</v>
      </c>
      <c r="L17" s="18">
        <v>1</v>
      </c>
      <c r="M17" s="18">
        <v>1</v>
      </c>
      <c r="N17" s="18">
        <v>1</v>
      </c>
      <c r="O17" s="18">
        <v>1</v>
      </c>
      <c r="P17" s="18">
        <v>1</v>
      </c>
      <c r="Q17" s="18">
        <v>1</v>
      </c>
      <c r="R17" s="18">
        <v>1</v>
      </c>
      <c r="S17" s="18">
        <v>1</v>
      </c>
      <c r="T17" s="18">
        <v>1</v>
      </c>
      <c r="U17" s="18">
        <v>1</v>
      </c>
      <c r="V17" s="18">
        <v>1</v>
      </c>
      <c r="W17" s="18">
        <v>1</v>
      </c>
      <c r="X17" s="18">
        <v>1</v>
      </c>
      <c r="Y17" s="18">
        <v>1</v>
      </c>
      <c r="Z17" s="18">
        <v>1</v>
      </c>
      <c r="AA17" s="18">
        <v>1</v>
      </c>
      <c r="AB17" s="18">
        <v>1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19">
        <v>1</v>
      </c>
      <c r="AJ17" s="18">
        <v>1</v>
      </c>
      <c r="AK17" s="18"/>
    </row>
    <row r="18" spans="1:44" x14ac:dyDescent="0.25">
      <c r="A18" s="5" t="s">
        <v>56</v>
      </c>
      <c r="B18" s="18">
        <v>1</v>
      </c>
      <c r="C18" s="18">
        <v>1</v>
      </c>
      <c r="D18" s="18">
        <v>1</v>
      </c>
      <c r="E18" s="18">
        <v>1</v>
      </c>
      <c r="F18" s="18">
        <v>1</v>
      </c>
      <c r="G18" s="18">
        <v>1</v>
      </c>
      <c r="H18" s="18">
        <v>1</v>
      </c>
      <c r="I18" s="18">
        <v>1</v>
      </c>
      <c r="J18" s="18">
        <v>1</v>
      </c>
      <c r="K18" s="18">
        <v>1</v>
      </c>
      <c r="L18" s="18">
        <v>1</v>
      </c>
      <c r="M18" s="18">
        <v>1</v>
      </c>
      <c r="N18" s="18">
        <v>1</v>
      </c>
      <c r="O18" s="18">
        <v>1</v>
      </c>
      <c r="P18" s="18">
        <v>1</v>
      </c>
      <c r="Q18" s="18">
        <v>1</v>
      </c>
      <c r="R18" s="18">
        <v>1</v>
      </c>
      <c r="S18" s="18">
        <v>1</v>
      </c>
      <c r="T18" s="18">
        <v>1</v>
      </c>
      <c r="U18" s="18">
        <v>1</v>
      </c>
      <c r="V18" s="18">
        <v>1</v>
      </c>
      <c r="W18" s="18">
        <v>1</v>
      </c>
      <c r="X18" s="18">
        <v>1</v>
      </c>
      <c r="Y18" s="18">
        <v>1</v>
      </c>
      <c r="Z18" s="18">
        <v>1</v>
      </c>
      <c r="AA18" s="18">
        <v>1</v>
      </c>
      <c r="AB18" s="18">
        <v>1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19">
        <v>1</v>
      </c>
      <c r="AJ18" s="18">
        <v>1</v>
      </c>
      <c r="AK18" s="18"/>
    </row>
    <row r="19" spans="1:44" x14ac:dyDescent="0.25">
      <c r="A19" s="5" t="s">
        <v>51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5"/>
      <c r="AJ19" s="14"/>
      <c r="AK19" s="14"/>
    </row>
    <row r="20" spans="1:44" x14ac:dyDescent="0.25">
      <c r="A20" s="20" t="s">
        <v>57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5"/>
      <c r="AJ20" s="14"/>
      <c r="AK20" s="14"/>
    </row>
    <row r="21" spans="1:44" x14ac:dyDescent="0.25">
      <c r="A21" s="5" t="s">
        <v>58</v>
      </c>
      <c r="B21" s="21">
        <v>6073000</v>
      </c>
      <c r="C21" s="21">
        <v>4864000</v>
      </c>
      <c r="D21" s="21">
        <v>4919000</v>
      </c>
      <c r="E21" s="21">
        <v>5612000</v>
      </c>
      <c r="F21" s="21">
        <v>6077000</v>
      </c>
      <c r="G21" s="21">
        <v>6456000</v>
      </c>
      <c r="H21" s="21">
        <v>6533000</v>
      </c>
      <c r="I21" s="21">
        <v>6814000</v>
      </c>
      <c r="J21" s="21">
        <v>6378000</v>
      </c>
      <c r="K21" s="21">
        <v>5536000</v>
      </c>
      <c r="L21" s="21">
        <v>6090000</v>
      </c>
      <c r="M21" s="21">
        <v>6286000</v>
      </c>
      <c r="N21" s="21">
        <v>6949000</v>
      </c>
      <c r="O21" s="21">
        <v>9328000</v>
      </c>
      <c r="P21" s="21">
        <v>13975000</v>
      </c>
      <c r="Q21" s="21">
        <v>14039000</v>
      </c>
      <c r="R21" s="21">
        <v>15715000</v>
      </c>
      <c r="S21" s="21">
        <v>16873000</v>
      </c>
      <c r="T21" s="21">
        <v>23754000</v>
      </c>
      <c r="U21" s="21">
        <v>11048000</v>
      </c>
      <c r="V21" s="21">
        <v>17374000</v>
      </c>
      <c r="W21" s="21">
        <v>19884000</v>
      </c>
      <c r="X21" s="21">
        <v>19328000</v>
      </c>
      <c r="Y21" s="21">
        <v>17424000</v>
      </c>
      <c r="Z21" s="21">
        <v>17507000</v>
      </c>
      <c r="AA21" s="21">
        <v>11574000</v>
      </c>
      <c r="AB21" s="21">
        <v>10261000</v>
      </c>
      <c r="AC21" s="21">
        <v>12250000</v>
      </c>
      <c r="AD21" s="21">
        <v>14178000</v>
      </c>
      <c r="AE21" s="21">
        <v>12937000</v>
      </c>
      <c r="AF21" s="21">
        <v>9741000</v>
      </c>
      <c r="AG21" s="22">
        <v>20275000</v>
      </c>
      <c r="AH21" s="22">
        <v>21065000</v>
      </c>
      <c r="AI21" s="22">
        <v>18053000</v>
      </c>
      <c r="AJ21" s="21">
        <v>15640000</v>
      </c>
      <c r="AK21" s="21"/>
      <c r="AL21" s="23">
        <f>AVERAGE(B21:$AI$21)</f>
        <v>11916764.705882354</v>
      </c>
      <c r="AM21" s="23">
        <f>AVERAGE(F21:$AI$21)</f>
        <v>12790066.666666666</v>
      </c>
      <c r="AN21" s="23">
        <f>AVERAGE(P21:$AI$21)</f>
        <v>15862750</v>
      </c>
      <c r="AO21" s="23">
        <f>AVERAGE(Z21:$AI$21)</f>
        <v>14784100</v>
      </c>
      <c r="AP21" s="23">
        <f>AVERAGE(AE21:$AI$21)</f>
        <v>16414200</v>
      </c>
      <c r="AQ21" s="23">
        <f>AVERAGE(AG21:AI21)</f>
        <v>19797666.666666668</v>
      </c>
    </row>
    <row r="22" spans="1:44" x14ac:dyDescent="0.25">
      <c r="A22" s="5" t="s">
        <v>59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21">
        <v>3000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5">
        <v>0</v>
      </c>
      <c r="AJ22" s="14">
        <v>0</v>
      </c>
      <c r="AK22" s="14"/>
      <c r="AL22" s="23"/>
      <c r="AM22" s="23"/>
      <c r="AN22" s="23"/>
      <c r="AO22" s="23"/>
      <c r="AP22" s="23"/>
      <c r="AQ22" s="23"/>
    </row>
    <row r="23" spans="1:44" x14ac:dyDescent="0.25">
      <c r="A23" s="5" t="s">
        <v>60</v>
      </c>
      <c r="B23" s="21">
        <v>6073000</v>
      </c>
      <c r="C23" s="21">
        <v>4864000</v>
      </c>
      <c r="D23" s="21">
        <v>4919000</v>
      </c>
      <c r="E23" s="21">
        <v>5612000</v>
      </c>
      <c r="F23" s="21">
        <v>6077000</v>
      </c>
      <c r="G23" s="21">
        <v>6456000</v>
      </c>
      <c r="H23" s="21">
        <v>6533000</v>
      </c>
      <c r="I23" s="21">
        <v>6814000</v>
      </c>
      <c r="J23" s="21">
        <v>6378000</v>
      </c>
      <c r="K23" s="21">
        <v>5536000</v>
      </c>
      <c r="L23" s="21">
        <v>6090000</v>
      </c>
      <c r="M23" s="21">
        <v>6289000</v>
      </c>
      <c r="N23" s="21">
        <v>6949000</v>
      </c>
      <c r="O23" s="21">
        <v>9328000</v>
      </c>
      <c r="P23" s="21">
        <v>13975000</v>
      </c>
      <c r="Q23" s="21">
        <v>14039000</v>
      </c>
      <c r="R23" s="21">
        <v>15715000</v>
      </c>
      <c r="S23" s="21">
        <v>16873000</v>
      </c>
      <c r="T23" s="21">
        <v>23754000</v>
      </c>
      <c r="U23" s="21">
        <v>11048000</v>
      </c>
      <c r="V23" s="21">
        <v>17374000</v>
      </c>
      <c r="W23" s="21">
        <v>19884000</v>
      </c>
      <c r="X23" s="21">
        <v>19328000</v>
      </c>
      <c r="Y23" s="21">
        <v>17424000</v>
      </c>
      <c r="Z23" s="21">
        <v>17507000</v>
      </c>
      <c r="AA23" s="21">
        <v>11574000</v>
      </c>
      <c r="AB23" s="21">
        <v>10261000</v>
      </c>
      <c r="AC23" s="21">
        <v>12250000</v>
      </c>
      <c r="AD23" s="21">
        <v>14178000</v>
      </c>
      <c r="AE23" s="21">
        <v>12937000</v>
      </c>
      <c r="AF23" s="21">
        <v>9741000</v>
      </c>
      <c r="AG23" s="21">
        <v>20275000</v>
      </c>
      <c r="AH23" s="21">
        <v>21065000</v>
      </c>
      <c r="AI23" s="22">
        <v>18053000</v>
      </c>
      <c r="AJ23" s="21">
        <v>15640000</v>
      </c>
      <c r="AK23" s="21"/>
      <c r="AL23" s="23"/>
      <c r="AM23" s="23"/>
      <c r="AN23" s="23"/>
      <c r="AO23" s="23"/>
      <c r="AP23" s="23"/>
      <c r="AQ23" s="23"/>
    </row>
    <row r="24" spans="1:44" x14ac:dyDescent="0.25">
      <c r="A24" s="5" t="s">
        <v>61</v>
      </c>
      <c r="B24" s="21">
        <v>5216000</v>
      </c>
      <c r="C24" s="21">
        <v>4732000</v>
      </c>
      <c r="D24" s="21">
        <v>4776000</v>
      </c>
      <c r="E24" s="21">
        <v>5304000</v>
      </c>
      <c r="F24" s="21">
        <v>5342000</v>
      </c>
      <c r="G24" s="21">
        <v>5565000</v>
      </c>
      <c r="H24" s="21">
        <v>5829000</v>
      </c>
      <c r="I24" s="21">
        <v>5762000</v>
      </c>
      <c r="J24" s="21">
        <v>5604000</v>
      </c>
      <c r="K24" s="21">
        <v>5084000</v>
      </c>
      <c r="L24" s="21">
        <v>5684000</v>
      </c>
      <c r="M24" s="21">
        <v>6166000</v>
      </c>
      <c r="N24" s="21">
        <v>6158000</v>
      </c>
      <c r="O24" s="21">
        <v>8458000</v>
      </c>
      <c r="P24" s="21">
        <v>11368000</v>
      </c>
      <c r="Q24" s="21">
        <v>11641000</v>
      </c>
      <c r="R24" s="21">
        <v>12946000</v>
      </c>
      <c r="S24" s="21">
        <v>14587000</v>
      </c>
      <c r="T24" s="21">
        <v>19723000</v>
      </c>
      <c r="U24" s="21">
        <v>11511000</v>
      </c>
      <c r="V24" s="21">
        <v>16259000</v>
      </c>
      <c r="W24" s="21">
        <v>18326000</v>
      </c>
      <c r="X24" s="21">
        <v>17649000</v>
      </c>
      <c r="Y24" s="21">
        <v>16016000</v>
      </c>
      <c r="Z24" s="21">
        <v>15455000</v>
      </c>
      <c r="AA24" s="21">
        <v>11141000</v>
      </c>
      <c r="AB24" s="21">
        <v>9608000</v>
      </c>
      <c r="AC24" s="21">
        <v>10858000</v>
      </c>
      <c r="AD24" s="21">
        <v>12305000</v>
      </c>
      <c r="AE24" s="21">
        <v>12001000</v>
      </c>
      <c r="AF24" s="21">
        <v>9488000</v>
      </c>
      <c r="AG24" s="21">
        <v>14464000</v>
      </c>
      <c r="AH24" s="21">
        <v>16712000</v>
      </c>
      <c r="AI24" s="22">
        <v>15749000</v>
      </c>
      <c r="AJ24" s="21">
        <v>14012000</v>
      </c>
      <c r="AK24" s="21"/>
      <c r="AL24" s="23">
        <f>AVERAGE(B24:$AI$24)</f>
        <v>10514323.529411765</v>
      </c>
      <c r="AM24" s="23">
        <f>AVERAGE(F24:$AI$24)</f>
        <v>11248633.333333334</v>
      </c>
      <c r="AN24" s="23">
        <f>AVERAGE(P24:$AI$24)</f>
        <v>13890350</v>
      </c>
      <c r="AO24" s="23">
        <f>AVERAGE(Z24:$AI$24)</f>
        <v>12778100</v>
      </c>
      <c r="AP24" s="23">
        <f>AVERAGE(AE24:$AI$24)</f>
        <v>13682800</v>
      </c>
      <c r="AQ24" s="23">
        <f>AVERAGE(AG24:AI24)</f>
        <v>15641666.666666666</v>
      </c>
    </row>
    <row r="25" spans="1:44" x14ac:dyDescent="0.25">
      <c r="A25" s="5" t="s">
        <v>62</v>
      </c>
      <c r="B25" s="21">
        <v>857000</v>
      </c>
      <c r="C25" s="21">
        <v>132000</v>
      </c>
      <c r="D25" s="21">
        <v>143000</v>
      </c>
      <c r="E25" s="21">
        <v>308000</v>
      </c>
      <c r="F25" s="21">
        <v>735000</v>
      </c>
      <c r="G25" s="21">
        <v>891000</v>
      </c>
      <c r="H25" s="21">
        <v>704000</v>
      </c>
      <c r="I25" s="21">
        <v>1052000</v>
      </c>
      <c r="J25" s="21">
        <v>774000</v>
      </c>
      <c r="K25" s="21">
        <v>452000</v>
      </c>
      <c r="L25" s="21">
        <v>406000</v>
      </c>
      <c r="M25" s="21">
        <v>123000</v>
      </c>
      <c r="N25" s="21">
        <v>791000</v>
      </c>
      <c r="O25" s="21">
        <v>870000</v>
      </c>
      <c r="P25" s="21">
        <v>2607000</v>
      </c>
      <c r="Q25" s="21">
        <v>2398000</v>
      </c>
      <c r="R25" s="21">
        <v>2769000</v>
      </c>
      <c r="S25" s="21">
        <v>2286000</v>
      </c>
      <c r="T25" s="21">
        <v>4031000</v>
      </c>
      <c r="U25" s="21">
        <v>-463000</v>
      </c>
      <c r="V25" s="21">
        <v>1115000</v>
      </c>
      <c r="W25" s="21">
        <v>1558000</v>
      </c>
      <c r="X25" s="21">
        <v>1679000</v>
      </c>
      <c r="Y25" s="21">
        <v>1408000</v>
      </c>
      <c r="Z25" s="21">
        <v>2052000</v>
      </c>
      <c r="AA25" s="21">
        <v>433000</v>
      </c>
      <c r="AB25" s="21">
        <v>653000</v>
      </c>
      <c r="AC25" s="21">
        <v>1392000</v>
      </c>
      <c r="AD25" s="21">
        <v>1873000</v>
      </c>
      <c r="AE25" s="21">
        <v>936000</v>
      </c>
      <c r="AF25" s="21">
        <v>253000</v>
      </c>
      <c r="AG25" s="21">
        <v>5811000</v>
      </c>
      <c r="AH25" s="21">
        <v>4353000</v>
      </c>
      <c r="AI25" s="22">
        <v>2304000</v>
      </c>
      <c r="AJ25" s="21">
        <v>1628000</v>
      </c>
      <c r="AK25" s="21"/>
      <c r="AL25" s="23"/>
      <c r="AM25" s="23"/>
      <c r="AN25" s="23"/>
      <c r="AO25" s="23"/>
      <c r="AP25" s="23"/>
      <c r="AQ25" s="23"/>
    </row>
    <row r="26" spans="1:44" x14ac:dyDescent="0.25">
      <c r="A26" s="5" t="s">
        <v>51</v>
      </c>
      <c r="B26" s="24">
        <f t="shared" ref="B26:AG26" si="1">B24/B21</f>
        <v>0.85888358307261647</v>
      </c>
      <c r="C26" s="24">
        <f t="shared" si="1"/>
        <v>0.97286184210526316</v>
      </c>
      <c r="D26" s="24">
        <f t="shared" si="1"/>
        <v>0.97092905062004475</v>
      </c>
      <c r="E26" s="24">
        <f t="shared" si="1"/>
        <v>0.94511760513186027</v>
      </c>
      <c r="F26" s="24">
        <f t="shared" si="1"/>
        <v>0.87905216389665952</v>
      </c>
      <c r="G26" s="24">
        <f t="shared" si="1"/>
        <v>0.86198884758364314</v>
      </c>
      <c r="H26" s="24">
        <f t="shared" si="1"/>
        <v>0.89223939996938617</v>
      </c>
      <c r="I26" s="24">
        <f t="shared" si="1"/>
        <v>0.8456119753448782</v>
      </c>
      <c r="J26" s="24">
        <f t="shared" si="1"/>
        <v>0.87864534336782696</v>
      </c>
      <c r="K26" s="24">
        <f t="shared" si="1"/>
        <v>0.91835260115606931</v>
      </c>
      <c r="L26" s="24">
        <f t="shared" si="1"/>
        <v>0.93333333333333335</v>
      </c>
      <c r="M26" s="24">
        <f t="shared" si="1"/>
        <v>0.98090995863824371</v>
      </c>
      <c r="N26" s="24">
        <f t="shared" si="1"/>
        <v>0.88617067203914235</v>
      </c>
      <c r="O26" s="24">
        <f t="shared" si="1"/>
        <v>0.90673241852487141</v>
      </c>
      <c r="P26" s="24">
        <f t="shared" si="1"/>
        <v>0.81345259391771019</v>
      </c>
      <c r="Q26" s="24">
        <f t="shared" si="1"/>
        <v>0.82919011325592995</v>
      </c>
      <c r="R26" s="24">
        <f t="shared" si="1"/>
        <v>0.8237989182309895</v>
      </c>
      <c r="S26" s="24">
        <f t="shared" si="1"/>
        <v>0.86451727612161444</v>
      </c>
      <c r="T26" s="24">
        <f t="shared" si="1"/>
        <v>0.83030226488170411</v>
      </c>
      <c r="U26" s="24">
        <f t="shared" si="1"/>
        <v>1.0419080376538741</v>
      </c>
      <c r="V26" s="24">
        <f t="shared" si="1"/>
        <v>0.93582364452630362</v>
      </c>
      <c r="W26" s="24">
        <f t="shared" si="1"/>
        <v>0.92164554415610545</v>
      </c>
      <c r="X26" s="24">
        <f t="shared" si="1"/>
        <v>0.91313120860927155</v>
      </c>
      <c r="Y26" s="24">
        <f t="shared" si="1"/>
        <v>0.91919191919191923</v>
      </c>
      <c r="Z26" s="24">
        <f t="shared" si="1"/>
        <v>0.88278974124635856</v>
      </c>
      <c r="AA26" s="24">
        <f t="shared" si="1"/>
        <v>0.96258856056678765</v>
      </c>
      <c r="AB26" s="24">
        <f t="shared" si="1"/>
        <v>0.93636097846213817</v>
      </c>
      <c r="AC26" s="24">
        <f t="shared" si="1"/>
        <v>0.8863673469387755</v>
      </c>
      <c r="AD26" s="24">
        <f t="shared" si="1"/>
        <v>0.86789392015799127</v>
      </c>
      <c r="AE26" s="24">
        <f t="shared" si="1"/>
        <v>0.92764937775372958</v>
      </c>
      <c r="AF26" s="24">
        <f t="shared" si="1"/>
        <v>0.9740273072579817</v>
      </c>
      <c r="AG26" s="24">
        <f t="shared" si="1"/>
        <v>0.7133908754623921</v>
      </c>
      <c r="AH26" s="24">
        <f>AH24/AH21</f>
        <v>0.79335390458105859</v>
      </c>
      <c r="AI26" s="25">
        <f>AI24/AI21</f>
        <v>0.87237578241843461</v>
      </c>
      <c r="AJ26" s="24">
        <f>AJ24/AJ21</f>
        <v>0.89590792838874678</v>
      </c>
      <c r="AK26" s="24"/>
      <c r="AL26" s="26">
        <f>AVERAGE(B26:$AI$26)</f>
        <v>0.89531141500514444</v>
      </c>
      <c r="AM26" s="26">
        <f>AVERAGE(F26:$AI$26)</f>
        <v>0.88975986764150394</v>
      </c>
      <c r="AN26" s="26">
        <f>AVERAGE(P26:$AI$26)</f>
        <v>0.88548796576955335</v>
      </c>
      <c r="AO26" s="26">
        <f>AVERAGE(Z26:$AI$26)</f>
        <v>0.88167977948456477</v>
      </c>
      <c r="AP26" s="26">
        <f>AVERAGE(AE26:$AI$26)</f>
        <v>0.85615944949471934</v>
      </c>
      <c r="AQ26" s="26">
        <f>AVERAGE(AG26:AI26)</f>
        <v>0.7930401874872951</v>
      </c>
      <c r="AR26" s="27">
        <f>AVERAGE(AL26:AQ26)</f>
        <v>0.86690644414713025</v>
      </c>
    </row>
    <row r="27" spans="1:44" x14ac:dyDescent="0.25">
      <c r="A27" s="5" t="s">
        <v>63</v>
      </c>
      <c r="B27" s="21">
        <v>-97000</v>
      </c>
      <c r="C27" s="21">
        <v>-101000</v>
      </c>
      <c r="D27" s="21">
        <v>-122000</v>
      </c>
      <c r="E27" s="21">
        <v>-108000</v>
      </c>
      <c r="F27" s="21">
        <v>-121000</v>
      </c>
      <c r="G27" s="21">
        <v>-134000</v>
      </c>
      <c r="H27" s="21">
        <v>-165000</v>
      </c>
      <c r="I27" s="21">
        <v>-137000</v>
      </c>
      <c r="J27" s="21">
        <v>-201000</v>
      </c>
      <c r="K27" s="21">
        <v>-283000</v>
      </c>
      <c r="L27" s="21">
        <v>-16000</v>
      </c>
      <c r="M27" s="21">
        <v>270000</v>
      </c>
      <c r="N27" s="21">
        <v>418000</v>
      </c>
      <c r="O27" s="21">
        <v>673000</v>
      </c>
      <c r="P27" s="21">
        <v>722000</v>
      </c>
      <c r="Q27" s="21">
        <v>638000</v>
      </c>
      <c r="R27" s="21">
        <v>598000</v>
      </c>
      <c r="S27" s="21">
        <v>578000</v>
      </c>
      <c r="T27" s="21">
        <v>625000</v>
      </c>
      <c r="U27" s="21">
        <v>618000</v>
      </c>
      <c r="V27" s="21">
        <v>610000</v>
      </c>
      <c r="W27" s="21">
        <v>733000</v>
      </c>
      <c r="X27" s="21">
        <v>654000</v>
      </c>
      <c r="Y27" s="21">
        <v>610000</v>
      </c>
      <c r="Z27" s="21">
        <v>523000</v>
      </c>
      <c r="AA27" s="21">
        <v>415000</v>
      </c>
      <c r="AB27" s="21">
        <v>270000</v>
      </c>
      <c r="AC27" s="21">
        <v>381000</v>
      </c>
      <c r="AD27" s="21">
        <v>405000</v>
      </c>
      <c r="AE27" s="21">
        <v>461000</v>
      </c>
      <c r="AF27" s="21">
        <v>319000</v>
      </c>
      <c r="AG27" s="21">
        <v>450000</v>
      </c>
      <c r="AH27" s="21">
        <v>241000</v>
      </c>
      <c r="AI27" s="22">
        <v>401000</v>
      </c>
      <c r="AJ27" s="21">
        <v>351000</v>
      </c>
      <c r="AK27" s="21"/>
      <c r="AL27" s="26">
        <f>AL24/AL21</f>
        <v>0.88231359676185295</v>
      </c>
      <c r="AM27" s="26">
        <f t="shared" ref="AM27:AQ27" si="2">AM24/AM21</f>
        <v>0.87948199383896886</v>
      </c>
      <c r="AN27" s="26">
        <f t="shared" si="2"/>
        <v>0.87565838205859636</v>
      </c>
      <c r="AO27" s="26">
        <f t="shared" si="2"/>
        <v>0.86431368835438072</v>
      </c>
      <c r="AP27" s="26">
        <f t="shared" si="2"/>
        <v>0.83359530162907725</v>
      </c>
      <c r="AQ27" s="26">
        <f t="shared" si="2"/>
        <v>0.79007627161449989</v>
      </c>
      <c r="AR27" s="27">
        <f t="shared" ref="AR27:AR28" si="3">AVERAGE(AL27:AQ27)</f>
        <v>0.85423987237622934</v>
      </c>
    </row>
    <row r="28" spans="1:44" x14ac:dyDescent="0.25">
      <c r="A28" s="5" t="s">
        <v>64</v>
      </c>
      <c r="B28" s="21">
        <v>278000</v>
      </c>
      <c r="C28" s="21">
        <v>253000</v>
      </c>
      <c r="D28" s="21">
        <v>288000</v>
      </c>
      <c r="E28" s="21">
        <v>314000</v>
      </c>
      <c r="F28" s="21">
        <v>314000</v>
      </c>
      <c r="G28" s="21">
        <v>318000</v>
      </c>
      <c r="H28" s="21">
        <v>292000</v>
      </c>
      <c r="I28" s="21">
        <v>303000</v>
      </c>
      <c r="J28" s="21">
        <v>283000</v>
      </c>
      <c r="K28" s="21">
        <v>304000</v>
      </c>
      <c r="L28" s="21">
        <v>360000</v>
      </c>
      <c r="M28" s="21">
        <v>344000</v>
      </c>
      <c r="N28" s="21">
        <v>350000</v>
      </c>
      <c r="O28" s="21">
        <v>363000</v>
      </c>
      <c r="P28" s="21">
        <v>382000</v>
      </c>
      <c r="Q28" s="21">
        <v>366000</v>
      </c>
      <c r="R28" s="21">
        <v>436000</v>
      </c>
      <c r="S28" s="21">
        <v>506000</v>
      </c>
      <c r="T28" s="21">
        <v>605000</v>
      </c>
      <c r="U28" s="21">
        <v>661000</v>
      </c>
      <c r="V28" s="21">
        <v>658000</v>
      </c>
      <c r="W28" s="21">
        <v>681000</v>
      </c>
      <c r="X28" s="21">
        <v>661000</v>
      </c>
      <c r="Y28" s="21">
        <v>684000</v>
      </c>
      <c r="Z28" s="21">
        <v>627000</v>
      </c>
      <c r="AA28" s="21">
        <v>547000</v>
      </c>
      <c r="AB28" s="21">
        <v>507000</v>
      </c>
      <c r="AC28" s="21">
        <v>501000</v>
      </c>
      <c r="AD28" s="21">
        <v>521000</v>
      </c>
      <c r="AE28" s="21">
        <v>616000</v>
      </c>
      <c r="AF28" s="21">
        <v>643000</v>
      </c>
      <c r="AG28" s="21">
        <v>791000</v>
      </c>
      <c r="AH28" s="21">
        <v>791000</v>
      </c>
      <c r="AI28" s="22">
        <v>916000</v>
      </c>
      <c r="AJ28" s="21">
        <v>913000</v>
      </c>
      <c r="AK28" s="21"/>
      <c r="AL28" s="26">
        <f>AVERAGE(AL26:AL27)</f>
        <v>0.88881250588349869</v>
      </c>
      <c r="AM28" s="26">
        <f t="shared" ref="AM28:AQ28" si="4">AVERAGE(AM26:AM27)</f>
        <v>0.8846209307402364</v>
      </c>
      <c r="AN28" s="26">
        <f t="shared" si="4"/>
        <v>0.88057317391407486</v>
      </c>
      <c r="AO28" s="26">
        <f t="shared" si="4"/>
        <v>0.87299673391947274</v>
      </c>
      <c r="AP28" s="26">
        <f t="shared" si="4"/>
        <v>0.84487737556189835</v>
      </c>
      <c r="AQ28" s="26">
        <f t="shared" si="4"/>
        <v>0.7915582295508975</v>
      </c>
      <c r="AR28" s="27">
        <f t="shared" si="3"/>
        <v>0.86057315826167979</v>
      </c>
    </row>
    <row r="29" spans="1:44" x14ac:dyDescent="0.25">
      <c r="A29" s="5" t="s">
        <v>65</v>
      </c>
      <c r="B29" s="21">
        <v>201000</v>
      </c>
      <c r="C29" s="21">
        <v>195000</v>
      </c>
      <c r="D29" s="21">
        <v>208000</v>
      </c>
      <c r="E29" s="21">
        <v>209000</v>
      </c>
      <c r="F29" s="21">
        <v>218000</v>
      </c>
      <c r="G29" s="21">
        <v>210000</v>
      </c>
      <c r="H29" s="21">
        <v>231000</v>
      </c>
      <c r="I29" s="21">
        <v>240000</v>
      </c>
      <c r="J29" s="21">
        <v>212000</v>
      </c>
      <c r="K29" s="21">
        <v>215000</v>
      </c>
      <c r="L29" s="14">
        <v>0</v>
      </c>
      <c r="M29" s="14">
        <v>0</v>
      </c>
      <c r="N29" s="14">
        <v>0</v>
      </c>
      <c r="O29" s="21">
        <v>-56000</v>
      </c>
      <c r="P29" s="21">
        <v>-18000</v>
      </c>
      <c r="Q29" s="21">
        <v>-14000</v>
      </c>
      <c r="R29" s="21">
        <v>-13000</v>
      </c>
      <c r="S29" s="21">
        <v>-19000</v>
      </c>
      <c r="T29" s="21">
        <v>-8000</v>
      </c>
      <c r="U29" s="21">
        <v>-49000</v>
      </c>
      <c r="V29" s="21">
        <v>-15000</v>
      </c>
      <c r="W29" s="21">
        <v>-11000</v>
      </c>
      <c r="X29" s="21">
        <v>-35000</v>
      </c>
      <c r="Y29" s="14">
        <v>0</v>
      </c>
      <c r="Z29" s="21">
        <v>-7000</v>
      </c>
      <c r="AA29" s="21">
        <v>-1000</v>
      </c>
      <c r="AB29" s="21">
        <v>-2000</v>
      </c>
      <c r="AC29" s="21">
        <v>-12000</v>
      </c>
      <c r="AD29" s="21">
        <v>-3000</v>
      </c>
      <c r="AE29" s="21">
        <v>-15000</v>
      </c>
      <c r="AF29" s="21">
        <v>3000</v>
      </c>
      <c r="AG29" s="21">
        <v>-35000</v>
      </c>
      <c r="AH29" s="21">
        <v>-47000</v>
      </c>
      <c r="AI29" s="22">
        <v>-16000</v>
      </c>
      <c r="AJ29" s="21">
        <v>77000</v>
      </c>
      <c r="AK29" s="21"/>
    </row>
    <row r="30" spans="1:44" x14ac:dyDescent="0.25">
      <c r="A30" s="5" t="s">
        <v>66</v>
      </c>
      <c r="B30" s="21">
        <v>382000</v>
      </c>
      <c r="C30" s="21">
        <v>347000</v>
      </c>
      <c r="D30" s="21">
        <v>374000</v>
      </c>
      <c r="E30" s="21">
        <v>415000</v>
      </c>
      <c r="F30" s="21">
        <v>411000</v>
      </c>
      <c r="G30" s="21">
        <v>394000</v>
      </c>
      <c r="H30" s="21">
        <v>358000</v>
      </c>
      <c r="I30" s="21">
        <v>406000</v>
      </c>
      <c r="J30" s="21">
        <v>294000</v>
      </c>
      <c r="K30" s="21">
        <v>236000</v>
      </c>
      <c r="L30" s="21">
        <v>344000</v>
      </c>
      <c r="M30" s="21">
        <v>614000</v>
      </c>
      <c r="N30" s="21">
        <v>768000</v>
      </c>
      <c r="O30" s="21">
        <v>980000</v>
      </c>
      <c r="P30" s="21">
        <v>1086000</v>
      </c>
      <c r="Q30" s="21">
        <v>990000</v>
      </c>
      <c r="R30" s="21">
        <v>1021000</v>
      </c>
      <c r="S30" s="21">
        <v>1065000</v>
      </c>
      <c r="T30" s="21">
        <v>1222000</v>
      </c>
      <c r="U30" s="21">
        <v>1230000</v>
      </c>
      <c r="V30" s="21">
        <v>1253000</v>
      </c>
      <c r="W30" s="21">
        <v>1403000</v>
      </c>
      <c r="X30" s="21">
        <v>1280000</v>
      </c>
      <c r="Y30" s="21">
        <v>1294000</v>
      </c>
      <c r="Z30" s="21">
        <v>1143000</v>
      </c>
      <c r="AA30" s="21">
        <v>961000</v>
      </c>
      <c r="AB30" s="21">
        <v>775000</v>
      </c>
      <c r="AC30" s="21">
        <v>870000</v>
      </c>
      <c r="AD30" s="21">
        <v>923000</v>
      </c>
      <c r="AE30" s="21">
        <v>1062000</v>
      </c>
      <c r="AF30" s="21">
        <v>965000</v>
      </c>
      <c r="AG30" s="21">
        <v>1206000</v>
      </c>
      <c r="AH30" s="21">
        <v>985000</v>
      </c>
      <c r="AI30" s="22">
        <v>1301000</v>
      </c>
      <c r="AJ30" s="21">
        <v>1341000</v>
      </c>
      <c r="AK30" s="21"/>
    </row>
    <row r="31" spans="1:44" x14ac:dyDescent="0.25">
      <c r="A31" s="5" t="s">
        <v>67</v>
      </c>
      <c r="B31" s="21">
        <v>475000</v>
      </c>
      <c r="C31" s="21">
        <v>-215000</v>
      </c>
      <c r="D31" s="21">
        <v>-231000</v>
      </c>
      <c r="E31" s="21">
        <v>-107000</v>
      </c>
      <c r="F31" s="21">
        <v>324000</v>
      </c>
      <c r="G31" s="21">
        <v>497000</v>
      </c>
      <c r="H31" s="21">
        <v>346000</v>
      </c>
      <c r="I31" s="21">
        <v>646000</v>
      </c>
      <c r="J31" s="21">
        <v>480000</v>
      </c>
      <c r="K31" s="21">
        <v>216000</v>
      </c>
      <c r="L31" s="21">
        <v>62000</v>
      </c>
      <c r="M31" s="21">
        <v>-491000</v>
      </c>
      <c r="N31" s="21">
        <v>23000</v>
      </c>
      <c r="O31" s="21">
        <v>-110000</v>
      </c>
      <c r="P31" s="21">
        <v>1521000</v>
      </c>
      <c r="Q31" s="21">
        <v>1408000</v>
      </c>
      <c r="R31" s="21">
        <v>1748000</v>
      </c>
      <c r="S31" s="21">
        <v>1221000</v>
      </c>
      <c r="T31" s="21">
        <v>2809000</v>
      </c>
      <c r="U31" s="21">
        <v>-1693000</v>
      </c>
      <c r="V31" s="21">
        <v>-138000</v>
      </c>
      <c r="W31" s="21">
        <v>155000</v>
      </c>
      <c r="X31" s="21">
        <v>399000</v>
      </c>
      <c r="Y31" s="21">
        <v>114000</v>
      </c>
      <c r="Z31" s="21">
        <v>909000</v>
      </c>
      <c r="AA31" s="21">
        <v>-528000</v>
      </c>
      <c r="AB31" s="21">
        <v>-122000</v>
      </c>
      <c r="AC31" s="21">
        <v>522000</v>
      </c>
      <c r="AD31" s="21">
        <v>950000</v>
      </c>
      <c r="AE31" s="21">
        <v>-126000</v>
      </c>
      <c r="AF31" s="21">
        <v>-712000</v>
      </c>
      <c r="AG31" s="21">
        <v>4605000</v>
      </c>
      <c r="AH31" s="21">
        <v>3368000</v>
      </c>
      <c r="AI31" s="22">
        <v>1003000</v>
      </c>
      <c r="AJ31" s="21">
        <v>287000</v>
      </c>
      <c r="AK31" s="21"/>
    </row>
    <row r="32" spans="1:44" x14ac:dyDescent="0.25">
      <c r="A32" s="5" t="s">
        <v>51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5"/>
      <c r="AJ32" s="14"/>
      <c r="AK32" s="14"/>
    </row>
    <row r="33" spans="1:37" x14ac:dyDescent="0.25">
      <c r="A33" s="5" t="s">
        <v>68</v>
      </c>
      <c r="B33" s="21">
        <v>-198000</v>
      </c>
      <c r="C33" s="21">
        <v>-168000</v>
      </c>
      <c r="D33" s="21">
        <v>-176000</v>
      </c>
      <c r="E33" s="21">
        <v>-330000</v>
      </c>
      <c r="F33" s="21">
        <v>-152000</v>
      </c>
      <c r="G33" s="21">
        <v>-137000</v>
      </c>
      <c r="H33" s="21">
        <v>-120000</v>
      </c>
      <c r="I33" s="21">
        <v>-91000</v>
      </c>
      <c r="J33" s="21">
        <v>-47000</v>
      </c>
      <c r="K33" s="21">
        <v>-75000</v>
      </c>
      <c r="L33" s="21">
        <v>-96000</v>
      </c>
      <c r="M33" s="21">
        <v>-200000</v>
      </c>
      <c r="N33" s="21">
        <v>-131000</v>
      </c>
      <c r="O33" s="21">
        <v>-153000</v>
      </c>
      <c r="P33" s="21">
        <v>-158000</v>
      </c>
      <c r="Q33" s="21">
        <v>-79000</v>
      </c>
      <c r="R33" s="21">
        <v>-116000</v>
      </c>
      <c r="S33" s="21">
        <v>-152000</v>
      </c>
      <c r="T33" s="21">
        <v>-174000</v>
      </c>
      <c r="U33" s="21">
        <v>-172000</v>
      </c>
      <c r="V33" s="21">
        <v>-210000</v>
      </c>
      <c r="W33" s="21">
        <v>-206000</v>
      </c>
      <c r="X33" s="21">
        <v>-230000</v>
      </c>
      <c r="Y33" s="21">
        <v>-286000</v>
      </c>
      <c r="Z33" s="21">
        <v>-246000</v>
      </c>
      <c r="AA33" s="21">
        <v>-225000</v>
      </c>
      <c r="AB33" s="21">
        <v>-239000</v>
      </c>
      <c r="AC33" s="21">
        <v>-236000</v>
      </c>
      <c r="AD33" s="21">
        <v>-176000</v>
      </c>
      <c r="AE33" s="21">
        <v>-149000</v>
      </c>
      <c r="AF33" s="21">
        <v>-295000</v>
      </c>
      <c r="AG33" s="21">
        <v>-327000</v>
      </c>
      <c r="AH33" s="21">
        <v>-168000</v>
      </c>
      <c r="AI33" s="22">
        <v>-81000</v>
      </c>
      <c r="AJ33" s="21">
        <v>-33000</v>
      </c>
      <c r="AK33" s="21"/>
    </row>
    <row r="34" spans="1:37" x14ac:dyDescent="0.25">
      <c r="A34" s="5" t="s">
        <v>69</v>
      </c>
      <c r="B34" s="21">
        <v>102000</v>
      </c>
      <c r="C34" s="21">
        <v>20000</v>
      </c>
      <c r="D34" s="21">
        <v>18000</v>
      </c>
      <c r="E34" s="21">
        <v>59000</v>
      </c>
      <c r="F34" s="21">
        <v>12000</v>
      </c>
      <c r="G34" s="21">
        <v>8000</v>
      </c>
      <c r="H34" s="21">
        <v>4000</v>
      </c>
      <c r="I34" s="21">
        <v>4000</v>
      </c>
      <c r="J34" s="21">
        <v>5000</v>
      </c>
      <c r="K34" s="21">
        <v>1000</v>
      </c>
      <c r="L34" s="21">
        <v>3000</v>
      </c>
      <c r="M34" s="21">
        <v>13000</v>
      </c>
      <c r="N34" s="21">
        <v>5000</v>
      </c>
      <c r="O34" s="21">
        <v>6000</v>
      </c>
      <c r="P34" s="21">
        <v>40000</v>
      </c>
      <c r="Q34" s="21">
        <v>40000</v>
      </c>
      <c r="R34" s="21">
        <v>67000</v>
      </c>
      <c r="S34" s="21">
        <v>79000</v>
      </c>
      <c r="T34" s="21">
        <v>14000</v>
      </c>
      <c r="U34" s="21">
        <v>10000</v>
      </c>
      <c r="V34" s="21">
        <v>27000</v>
      </c>
      <c r="W34" s="21">
        <v>91000</v>
      </c>
      <c r="X34" s="21">
        <v>7000</v>
      </c>
      <c r="Y34" s="21">
        <v>43000</v>
      </c>
      <c r="Z34" s="21">
        <v>154000</v>
      </c>
      <c r="AA34" s="21">
        <v>41000</v>
      </c>
      <c r="AB34" s="21">
        <v>103000</v>
      </c>
      <c r="AC34" s="21">
        <v>61000</v>
      </c>
      <c r="AD34" s="21">
        <v>84000</v>
      </c>
      <c r="AE34" s="21">
        <v>96000</v>
      </c>
      <c r="AF34" s="21">
        <v>7000</v>
      </c>
      <c r="AG34" s="21">
        <v>174000</v>
      </c>
      <c r="AH34" s="21">
        <v>287000</v>
      </c>
      <c r="AI34" s="22">
        <v>256000</v>
      </c>
      <c r="AJ34" s="21">
        <v>208000</v>
      </c>
      <c r="AK34" s="21"/>
    </row>
    <row r="35" spans="1:37" x14ac:dyDescent="0.25">
      <c r="A35" s="5" t="s">
        <v>70</v>
      </c>
      <c r="B35" s="21">
        <v>-96000</v>
      </c>
      <c r="C35" s="21">
        <v>-148000</v>
      </c>
      <c r="D35" s="21">
        <v>-158000</v>
      </c>
      <c r="E35" s="21">
        <v>-271000</v>
      </c>
      <c r="F35" s="21">
        <v>-140000</v>
      </c>
      <c r="G35" s="21">
        <v>-129000</v>
      </c>
      <c r="H35" s="21">
        <v>-116000</v>
      </c>
      <c r="I35" s="21">
        <v>-87000</v>
      </c>
      <c r="J35" s="21">
        <v>-42000</v>
      </c>
      <c r="K35" s="21">
        <v>-74000</v>
      </c>
      <c r="L35" s="21">
        <v>-93000</v>
      </c>
      <c r="M35" s="21">
        <v>-187000</v>
      </c>
      <c r="N35" s="21">
        <v>-126000</v>
      </c>
      <c r="O35" s="21">
        <v>-147000</v>
      </c>
      <c r="P35" s="21">
        <v>-118000</v>
      </c>
      <c r="Q35" s="21">
        <v>-39000</v>
      </c>
      <c r="R35" s="21">
        <v>-49000</v>
      </c>
      <c r="S35" s="21">
        <v>-73000</v>
      </c>
      <c r="T35" s="21">
        <v>-160000</v>
      </c>
      <c r="U35" s="21">
        <v>-162000</v>
      </c>
      <c r="V35" s="21">
        <v>-183000</v>
      </c>
      <c r="W35" s="21">
        <v>-115000</v>
      </c>
      <c r="X35" s="21">
        <v>-223000</v>
      </c>
      <c r="Y35" s="21">
        <v>-243000</v>
      </c>
      <c r="Z35" s="21">
        <v>-92000</v>
      </c>
      <c r="AA35" s="21">
        <v>-184000</v>
      </c>
      <c r="AB35" s="21">
        <v>-136000</v>
      </c>
      <c r="AC35" s="21">
        <v>-175000</v>
      </c>
      <c r="AD35" s="21">
        <v>-92000</v>
      </c>
      <c r="AE35" s="21">
        <v>-53000</v>
      </c>
      <c r="AF35" s="21">
        <v>-288000</v>
      </c>
      <c r="AG35" s="21">
        <v>-153000</v>
      </c>
      <c r="AH35" s="21">
        <v>119000</v>
      </c>
      <c r="AI35" s="22">
        <v>175000</v>
      </c>
      <c r="AJ35" s="21">
        <v>175000</v>
      </c>
      <c r="AK35" s="21"/>
    </row>
    <row r="36" spans="1:37" x14ac:dyDescent="0.25">
      <c r="A36" s="5" t="s">
        <v>71</v>
      </c>
      <c r="B36" s="14">
        <v>0</v>
      </c>
      <c r="C36" s="14">
        <v>0</v>
      </c>
      <c r="D36" s="21">
        <v>-27000</v>
      </c>
      <c r="E36" s="21">
        <v>-11000</v>
      </c>
      <c r="F36" s="21">
        <v>59000</v>
      </c>
      <c r="G36" s="21">
        <v>80000</v>
      </c>
      <c r="H36" s="21">
        <v>66000</v>
      </c>
      <c r="I36" s="21">
        <v>69000</v>
      </c>
      <c r="J36" s="21">
        <v>46000</v>
      </c>
      <c r="K36" s="21">
        <v>-89000</v>
      </c>
      <c r="L36" s="21">
        <v>-8000</v>
      </c>
      <c r="M36" s="21">
        <v>64000</v>
      </c>
      <c r="N36" s="21">
        <v>33000</v>
      </c>
      <c r="O36" s="21">
        <v>-11000</v>
      </c>
      <c r="P36" s="21">
        <v>57000</v>
      </c>
      <c r="Q36" s="21">
        <v>30000</v>
      </c>
      <c r="R36" s="21">
        <v>57000</v>
      </c>
      <c r="S36" s="21">
        <v>26000</v>
      </c>
      <c r="T36" s="21">
        <v>93000</v>
      </c>
      <c r="U36" s="14">
        <v>0</v>
      </c>
      <c r="V36" s="14">
        <v>0</v>
      </c>
      <c r="W36" s="14">
        <v>0</v>
      </c>
      <c r="X36" s="21">
        <v>144000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5">
        <v>0</v>
      </c>
      <c r="AJ36" s="14">
        <v>0</v>
      </c>
      <c r="AK36" s="14"/>
    </row>
    <row r="37" spans="1:37" x14ac:dyDescent="0.25">
      <c r="A37" s="5" t="s">
        <v>72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21">
        <v>7000</v>
      </c>
      <c r="M37" s="21">
        <v>-1000</v>
      </c>
      <c r="N37" s="21">
        <v>16000</v>
      </c>
      <c r="O37" s="21">
        <v>54000</v>
      </c>
      <c r="P37" s="21">
        <v>36000</v>
      </c>
      <c r="Q37" s="21">
        <v>-80000</v>
      </c>
      <c r="R37" s="21">
        <v>27000</v>
      </c>
      <c r="S37" s="21">
        <v>4000</v>
      </c>
      <c r="T37" s="21">
        <v>103000</v>
      </c>
      <c r="U37" s="21">
        <v>8000</v>
      </c>
      <c r="V37" s="21">
        <v>-58000</v>
      </c>
      <c r="W37" s="21">
        <v>-27000</v>
      </c>
      <c r="X37" s="21">
        <v>-7000</v>
      </c>
      <c r="Y37" s="21">
        <v>-11000</v>
      </c>
      <c r="Z37" s="21">
        <v>1000</v>
      </c>
      <c r="AA37" s="21">
        <v>15000</v>
      </c>
      <c r="AB37" s="21">
        <v>14000</v>
      </c>
      <c r="AC37" s="21">
        <v>-23000</v>
      </c>
      <c r="AD37" s="21">
        <v>19000</v>
      </c>
      <c r="AE37" s="21">
        <v>17000</v>
      </c>
      <c r="AF37" s="21">
        <v>15000</v>
      </c>
      <c r="AG37" s="21">
        <v>-17000</v>
      </c>
      <c r="AH37" s="21">
        <v>-11000</v>
      </c>
      <c r="AI37" s="22">
        <v>5000</v>
      </c>
      <c r="AJ37" s="21">
        <v>-6000</v>
      </c>
      <c r="AK37" s="21"/>
    </row>
    <row r="38" spans="1:37" x14ac:dyDescent="0.25">
      <c r="A38" s="5" t="s">
        <v>73</v>
      </c>
      <c r="B38" s="21">
        <v>58000</v>
      </c>
      <c r="C38" s="21">
        <v>-9000</v>
      </c>
      <c r="D38" s="21">
        <v>9000</v>
      </c>
      <c r="E38" s="21">
        <v>5000</v>
      </c>
      <c r="F38" s="21">
        <v>4000</v>
      </c>
      <c r="G38" s="14">
        <v>0</v>
      </c>
      <c r="H38" s="21">
        <v>2000</v>
      </c>
      <c r="I38" s="21">
        <v>1000</v>
      </c>
      <c r="J38" s="21">
        <v>-1000</v>
      </c>
      <c r="K38" s="21">
        <v>2000</v>
      </c>
      <c r="L38" s="21">
        <v>-15000</v>
      </c>
      <c r="M38" s="21">
        <v>47000</v>
      </c>
      <c r="N38" s="21">
        <v>38000</v>
      </c>
      <c r="O38" s="14">
        <v>0</v>
      </c>
      <c r="P38" s="14">
        <v>0</v>
      </c>
      <c r="Q38" s="21">
        <v>-8000</v>
      </c>
      <c r="R38" s="21">
        <v>-8000</v>
      </c>
      <c r="S38" s="21">
        <v>-10000</v>
      </c>
      <c r="T38" s="21">
        <v>-5000</v>
      </c>
      <c r="U38" s="21">
        <v>-7000</v>
      </c>
      <c r="V38" s="21">
        <v>-13000</v>
      </c>
      <c r="W38" s="21">
        <v>-11000</v>
      </c>
      <c r="X38" s="21">
        <v>-11000</v>
      </c>
      <c r="Y38" s="21">
        <v>-4000</v>
      </c>
      <c r="Z38" s="21">
        <v>-10000</v>
      </c>
      <c r="AA38" s="21">
        <v>-14000</v>
      </c>
      <c r="AB38" s="21">
        <v>-9000</v>
      </c>
      <c r="AC38" s="21">
        <v>-11000</v>
      </c>
      <c r="AD38" s="21">
        <v>-11000</v>
      </c>
      <c r="AE38" s="21">
        <v>-16000</v>
      </c>
      <c r="AF38" s="21">
        <v>16000</v>
      </c>
      <c r="AG38" s="21">
        <v>-15000</v>
      </c>
      <c r="AH38" s="21">
        <v>-12000</v>
      </c>
      <c r="AI38" s="22">
        <v>29000</v>
      </c>
      <c r="AJ38" s="21">
        <v>11000</v>
      </c>
      <c r="AK38" s="21"/>
    </row>
    <row r="39" spans="1:37" x14ac:dyDescent="0.25">
      <c r="A39" s="5" t="s">
        <v>74</v>
      </c>
      <c r="B39" s="21">
        <v>437000</v>
      </c>
      <c r="C39" s="21">
        <v>-372000</v>
      </c>
      <c r="D39" s="21">
        <v>-407000</v>
      </c>
      <c r="E39" s="21">
        <v>-384000</v>
      </c>
      <c r="F39" s="21">
        <v>247000</v>
      </c>
      <c r="G39" s="21">
        <v>448000</v>
      </c>
      <c r="H39" s="21">
        <v>298000</v>
      </c>
      <c r="I39" s="21">
        <v>629000</v>
      </c>
      <c r="J39" s="21">
        <v>483000</v>
      </c>
      <c r="K39" s="21">
        <v>55000</v>
      </c>
      <c r="L39" s="21">
        <v>-47000</v>
      </c>
      <c r="M39" s="21">
        <v>-568000</v>
      </c>
      <c r="N39" s="21">
        <v>-16000</v>
      </c>
      <c r="O39" s="21">
        <v>-214000</v>
      </c>
      <c r="P39" s="21">
        <v>1496000</v>
      </c>
      <c r="Q39" s="21">
        <v>1311000</v>
      </c>
      <c r="R39" s="21">
        <v>1775000</v>
      </c>
      <c r="S39" s="21">
        <v>1168000</v>
      </c>
      <c r="T39" s="21">
        <v>2840000</v>
      </c>
      <c r="U39" s="21">
        <v>-1854000</v>
      </c>
      <c r="V39" s="21">
        <v>-392000</v>
      </c>
      <c r="W39" s="21">
        <v>2000</v>
      </c>
      <c r="X39" s="21">
        <v>302000</v>
      </c>
      <c r="Y39" s="21">
        <v>-144000</v>
      </c>
      <c r="Z39" s="21">
        <v>808000</v>
      </c>
      <c r="AA39" s="21">
        <v>-711000</v>
      </c>
      <c r="AB39" s="21">
        <v>-253000</v>
      </c>
      <c r="AC39" s="21">
        <v>313000</v>
      </c>
      <c r="AD39" s="21">
        <v>866000</v>
      </c>
      <c r="AE39" s="21">
        <v>-178000</v>
      </c>
      <c r="AF39" s="21">
        <v>-969000</v>
      </c>
      <c r="AG39" s="21">
        <v>4420000</v>
      </c>
      <c r="AH39" s="21">
        <v>3464000</v>
      </c>
      <c r="AI39" s="22">
        <v>1212000</v>
      </c>
      <c r="AJ39" s="21">
        <v>467000</v>
      </c>
      <c r="AK39" s="21"/>
    </row>
    <row r="40" spans="1:37" x14ac:dyDescent="0.25">
      <c r="A40" s="5" t="s">
        <v>75</v>
      </c>
      <c r="B40" s="14">
        <v>0</v>
      </c>
      <c r="C40" s="21">
        <v>-402000</v>
      </c>
      <c r="D40" s="21">
        <v>-10000</v>
      </c>
      <c r="E40" s="21">
        <v>-42000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21">
        <v>-683000</v>
      </c>
      <c r="P40" s="21">
        <v>-17000</v>
      </c>
      <c r="Q40" s="21">
        <v>-20000</v>
      </c>
      <c r="R40" s="21">
        <v>-28000</v>
      </c>
      <c r="S40" s="21">
        <v>-57000</v>
      </c>
      <c r="T40" s="14">
        <v>0</v>
      </c>
      <c r="U40" s="21">
        <v>-86000</v>
      </c>
      <c r="V40" s="14">
        <v>0</v>
      </c>
      <c r="W40" s="14">
        <v>0</v>
      </c>
      <c r="X40" s="14">
        <v>0</v>
      </c>
      <c r="Y40" s="21">
        <v>-248000</v>
      </c>
      <c r="Z40" s="21">
        <v>-245000</v>
      </c>
      <c r="AA40" s="21">
        <v>-322000</v>
      </c>
      <c r="AB40" s="21">
        <v>-122000</v>
      </c>
      <c r="AC40" s="21">
        <v>-37000</v>
      </c>
      <c r="AD40" s="14">
        <v>0</v>
      </c>
      <c r="AE40" s="21">
        <v>-275000</v>
      </c>
      <c r="AF40" s="21">
        <v>-138000</v>
      </c>
      <c r="AG40" s="21">
        <v>-128000</v>
      </c>
      <c r="AH40" s="21">
        <v>-48000</v>
      </c>
      <c r="AI40" s="22">
        <v>-36000</v>
      </c>
      <c r="AJ40" s="21">
        <v>-8000</v>
      </c>
      <c r="AK40" s="21"/>
    </row>
    <row r="41" spans="1:37" x14ac:dyDescent="0.25">
      <c r="A41" s="5" t="s">
        <v>76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21">
        <v>-1806000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5">
        <v>0</v>
      </c>
      <c r="AJ41" s="14">
        <v>0</v>
      </c>
      <c r="AK41" s="14"/>
    </row>
    <row r="42" spans="1:37" x14ac:dyDescent="0.25">
      <c r="A42" s="5" t="s">
        <v>77</v>
      </c>
      <c r="B42" s="14">
        <v>0</v>
      </c>
      <c r="C42" s="14">
        <v>0</v>
      </c>
      <c r="D42" s="14">
        <v>0</v>
      </c>
      <c r="E42" s="14">
        <v>0</v>
      </c>
      <c r="F42" s="21">
        <v>1000</v>
      </c>
      <c r="G42" s="14">
        <v>0</v>
      </c>
      <c r="H42" s="21">
        <v>53000</v>
      </c>
      <c r="I42" s="14">
        <v>0</v>
      </c>
      <c r="J42" s="14">
        <v>0</v>
      </c>
      <c r="K42" s="14">
        <v>0</v>
      </c>
      <c r="L42" s="21">
        <v>46000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21">
        <v>-29000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21">
        <v>-392000</v>
      </c>
      <c r="AB42" s="14">
        <v>0</v>
      </c>
      <c r="AC42" s="21">
        <v>2000</v>
      </c>
      <c r="AD42" s="21">
        <v>38000</v>
      </c>
      <c r="AE42" s="14">
        <v>0</v>
      </c>
      <c r="AF42" s="21">
        <v>-86000</v>
      </c>
      <c r="AG42" s="21">
        <v>111000</v>
      </c>
      <c r="AH42" s="21">
        <v>6000</v>
      </c>
      <c r="AI42" s="15">
        <v>0</v>
      </c>
      <c r="AJ42" s="14">
        <v>0</v>
      </c>
      <c r="AK42" s="14"/>
    </row>
    <row r="43" spans="1:37" x14ac:dyDescent="0.25">
      <c r="A43" s="5" t="s">
        <v>78</v>
      </c>
      <c r="B43" s="14">
        <v>0</v>
      </c>
      <c r="C43" s="21">
        <v>18000</v>
      </c>
      <c r="D43" s="21">
        <v>23000</v>
      </c>
      <c r="E43" s="21">
        <v>216000</v>
      </c>
      <c r="F43" s="14">
        <v>0</v>
      </c>
      <c r="G43" s="21">
        <v>21000</v>
      </c>
      <c r="H43" s="21">
        <v>16000</v>
      </c>
      <c r="I43" s="21">
        <v>57000</v>
      </c>
      <c r="J43" s="21">
        <v>54000</v>
      </c>
      <c r="K43" s="21">
        <v>21000</v>
      </c>
      <c r="L43" s="14">
        <v>0</v>
      </c>
      <c r="M43" s="21">
        <v>22000</v>
      </c>
      <c r="N43" s="21">
        <v>29000</v>
      </c>
      <c r="O43" s="21">
        <v>85000</v>
      </c>
      <c r="P43" s="21">
        <v>64000</v>
      </c>
      <c r="Q43" s="21">
        <v>21000</v>
      </c>
      <c r="R43" s="21">
        <v>13000</v>
      </c>
      <c r="S43" s="21">
        <v>23000</v>
      </c>
      <c r="T43" s="21">
        <v>17000</v>
      </c>
      <c r="U43" s="21">
        <v>124000</v>
      </c>
      <c r="V43" s="21">
        <v>7000</v>
      </c>
      <c r="W43" s="21">
        <v>25000</v>
      </c>
      <c r="X43" s="21">
        <v>-296000</v>
      </c>
      <c r="Y43" s="14">
        <v>0</v>
      </c>
      <c r="Z43" s="21">
        <v>-393000</v>
      </c>
      <c r="AA43" s="21">
        <v>2000</v>
      </c>
      <c r="AB43" s="21">
        <v>-5000</v>
      </c>
      <c r="AC43" s="21">
        <v>5000</v>
      </c>
      <c r="AD43" s="21">
        <v>6000</v>
      </c>
      <c r="AE43" s="21">
        <v>1000</v>
      </c>
      <c r="AF43" s="21">
        <v>149000</v>
      </c>
      <c r="AG43" s="21">
        <v>506000</v>
      </c>
      <c r="AH43" s="14">
        <v>0</v>
      </c>
      <c r="AI43" s="15">
        <v>0</v>
      </c>
      <c r="AJ43" s="14">
        <v>0</v>
      </c>
      <c r="AK43" s="14"/>
    </row>
    <row r="44" spans="1:37" x14ac:dyDescent="0.25">
      <c r="A44" s="5" t="s">
        <v>79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21">
        <v>-16000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21">
        <v>-5000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21">
        <v>-14000</v>
      </c>
      <c r="AC44" s="14">
        <v>0</v>
      </c>
      <c r="AD44" s="14">
        <v>0</v>
      </c>
      <c r="AE44" s="14">
        <v>0</v>
      </c>
      <c r="AF44" s="21">
        <v>-263000</v>
      </c>
      <c r="AG44" s="21">
        <v>-273000</v>
      </c>
      <c r="AH44" s="21">
        <v>-163000</v>
      </c>
      <c r="AI44" s="22">
        <v>-129000</v>
      </c>
      <c r="AJ44" s="21">
        <v>-19000</v>
      </c>
      <c r="AK44" s="21"/>
    </row>
    <row r="45" spans="1:37" x14ac:dyDescent="0.25">
      <c r="A45" s="5" t="s">
        <v>80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21">
        <v>72000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5">
        <v>0</v>
      </c>
      <c r="AJ45" s="14">
        <v>0</v>
      </c>
      <c r="AK45" s="14"/>
    </row>
    <row r="46" spans="1:37" x14ac:dyDescent="0.25">
      <c r="A46" s="5" t="s">
        <v>81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21">
        <v>-3000</v>
      </c>
      <c r="P46" s="21">
        <v>-33000</v>
      </c>
      <c r="Q46" s="14">
        <v>0</v>
      </c>
      <c r="R46" s="21">
        <v>-32000</v>
      </c>
      <c r="S46" s="21">
        <v>-26000</v>
      </c>
      <c r="T46" s="21">
        <v>150000</v>
      </c>
      <c r="U46" s="14">
        <v>0</v>
      </c>
      <c r="V46" s="14">
        <v>0</v>
      </c>
      <c r="W46" s="14">
        <v>0</v>
      </c>
      <c r="X46" s="14">
        <v>0</v>
      </c>
      <c r="Y46" s="21">
        <v>-34000</v>
      </c>
      <c r="Z46" s="14">
        <v>0</v>
      </c>
      <c r="AA46" s="21">
        <v>-36000</v>
      </c>
      <c r="AB46" s="21">
        <v>-22000</v>
      </c>
      <c r="AC46" s="21">
        <v>-54000</v>
      </c>
      <c r="AD46" s="21">
        <v>-98000</v>
      </c>
      <c r="AE46" s="14">
        <v>0</v>
      </c>
      <c r="AF46" s="14">
        <v>0</v>
      </c>
      <c r="AG46" s="21">
        <v>-292000</v>
      </c>
      <c r="AH46" s="14">
        <v>0</v>
      </c>
      <c r="AI46" s="15">
        <v>0</v>
      </c>
      <c r="AJ46" s="21">
        <v>-2000</v>
      </c>
      <c r="AK46" s="21"/>
    </row>
    <row r="47" spans="1:37" x14ac:dyDescent="0.25">
      <c r="A47" s="5" t="s">
        <v>82</v>
      </c>
      <c r="B47" s="21">
        <v>437000</v>
      </c>
      <c r="C47" s="21">
        <v>-756000</v>
      </c>
      <c r="D47" s="21">
        <v>-394000</v>
      </c>
      <c r="E47" s="21">
        <v>-210000</v>
      </c>
      <c r="F47" s="21">
        <v>248000</v>
      </c>
      <c r="G47" s="21">
        <v>453000</v>
      </c>
      <c r="H47" s="21">
        <v>367000</v>
      </c>
      <c r="I47" s="21">
        <v>686000</v>
      </c>
      <c r="J47" s="21">
        <v>537000</v>
      </c>
      <c r="K47" s="21">
        <v>76000</v>
      </c>
      <c r="L47" s="21">
        <v>-1000</v>
      </c>
      <c r="M47" s="21">
        <v>-546000</v>
      </c>
      <c r="N47" s="21">
        <v>13000</v>
      </c>
      <c r="O47" s="21">
        <v>-815000</v>
      </c>
      <c r="P47" s="21">
        <v>1510000</v>
      </c>
      <c r="Q47" s="21">
        <v>1312000</v>
      </c>
      <c r="R47" s="21">
        <v>1723000</v>
      </c>
      <c r="S47" s="21">
        <v>1108000</v>
      </c>
      <c r="T47" s="21">
        <v>3007000</v>
      </c>
      <c r="U47" s="21">
        <v>-1845000</v>
      </c>
      <c r="V47" s="21">
        <v>-385000</v>
      </c>
      <c r="W47" s="21">
        <v>27000</v>
      </c>
      <c r="X47" s="21">
        <v>6000</v>
      </c>
      <c r="Y47" s="21">
        <v>-2232000</v>
      </c>
      <c r="Z47" s="21">
        <v>170000</v>
      </c>
      <c r="AA47" s="21">
        <v>-1459000</v>
      </c>
      <c r="AB47" s="21">
        <v>-416000</v>
      </c>
      <c r="AC47" s="21">
        <v>301000</v>
      </c>
      <c r="AD47" s="21">
        <v>812000</v>
      </c>
      <c r="AE47" s="21">
        <v>-452000</v>
      </c>
      <c r="AF47" s="21">
        <v>-1307000</v>
      </c>
      <c r="AG47" s="21">
        <v>4344000</v>
      </c>
      <c r="AH47" s="21">
        <v>3259000</v>
      </c>
      <c r="AI47" s="22">
        <v>1047000</v>
      </c>
      <c r="AJ47" s="21">
        <v>438000</v>
      </c>
      <c r="AK47" s="21"/>
    </row>
    <row r="48" spans="1:37" x14ac:dyDescent="0.25">
      <c r="A48" s="5" t="s">
        <v>51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5"/>
      <c r="AJ48" s="14"/>
      <c r="AK48" s="14"/>
    </row>
    <row r="49" spans="1:37" x14ac:dyDescent="0.25">
      <c r="A49" s="5" t="s">
        <v>83</v>
      </c>
      <c r="B49" s="21">
        <v>127000</v>
      </c>
      <c r="C49" s="21">
        <v>-249000</v>
      </c>
      <c r="D49" s="21">
        <v>-123000</v>
      </c>
      <c r="E49" s="21">
        <v>-41000</v>
      </c>
      <c r="F49" s="21">
        <v>47000</v>
      </c>
      <c r="G49" s="21">
        <v>150000</v>
      </c>
      <c r="H49" s="21">
        <v>92000</v>
      </c>
      <c r="I49" s="21">
        <v>234000</v>
      </c>
      <c r="J49" s="21">
        <v>173000</v>
      </c>
      <c r="K49" s="21">
        <v>25000</v>
      </c>
      <c r="L49" s="21">
        <v>20000</v>
      </c>
      <c r="M49" s="21">
        <v>-328000</v>
      </c>
      <c r="N49" s="21">
        <v>-48000</v>
      </c>
      <c r="O49" s="21">
        <v>-452000</v>
      </c>
      <c r="P49" s="21">
        <v>356000</v>
      </c>
      <c r="Q49" s="21">
        <v>365000</v>
      </c>
      <c r="R49" s="21">
        <v>324000</v>
      </c>
      <c r="S49" s="21">
        <v>218000</v>
      </c>
      <c r="T49" s="21">
        <v>853000</v>
      </c>
      <c r="U49" s="21">
        <v>-439000</v>
      </c>
      <c r="V49" s="21">
        <v>97000</v>
      </c>
      <c r="W49" s="21">
        <v>80000</v>
      </c>
      <c r="X49" s="21">
        <v>131000</v>
      </c>
      <c r="Y49" s="21">
        <v>-587000</v>
      </c>
      <c r="Z49" s="21">
        <v>68000</v>
      </c>
      <c r="AA49" s="21">
        <v>183000</v>
      </c>
      <c r="AB49" s="21">
        <v>24000</v>
      </c>
      <c r="AC49" s="21">
        <v>-86000</v>
      </c>
      <c r="AD49" s="21">
        <v>-303000</v>
      </c>
      <c r="AE49" s="21">
        <v>178000</v>
      </c>
      <c r="AF49" s="21">
        <v>-142000</v>
      </c>
      <c r="AG49" s="21">
        <v>170000</v>
      </c>
      <c r="AH49" s="21">
        <v>735000</v>
      </c>
      <c r="AI49" s="22">
        <v>152000</v>
      </c>
      <c r="AJ49" s="21">
        <v>54000</v>
      </c>
      <c r="AK49" s="21"/>
    </row>
    <row r="50" spans="1:37" x14ac:dyDescent="0.25">
      <c r="A50" s="5" t="s">
        <v>84</v>
      </c>
      <c r="B50" s="21">
        <v>310000</v>
      </c>
      <c r="C50" s="21">
        <v>-507000</v>
      </c>
      <c r="D50" s="21">
        <v>-271000</v>
      </c>
      <c r="E50" s="21">
        <v>-169000</v>
      </c>
      <c r="F50" s="21">
        <v>201000</v>
      </c>
      <c r="G50" s="21">
        <v>303000</v>
      </c>
      <c r="H50" s="21">
        <v>275000</v>
      </c>
      <c r="I50" s="21">
        <v>452000</v>
      </c>
      <c r="J50" s="21">
        <v>364000</v>
      </c>
      <c r="K50" s="21">
        <v>51000</v>
      </c>
      <c r="L50" s="21">
        <v>-21000</v>
      </c>
      <c r="M50" s="21">
        <v>-218000</v>
      </c>
      <c r="N50" s="21">
        <v>61000</v>
      </c>
      <c r="O50" s="21">
        <v>-363000</v>
      </c>
      <c r="P50" s="21">
        <v>1154000</v>
      </c>
      <c r="Q50" s="21">
        <v>947000</v>
      </c>
      <c r="R50" s="21">
        <v>1399000</v>
      </c>
      <c r="S50" s="21">
        <v>890000</v>
      </c>
      <c r="T50" s="21">
        <v>2154000</v>
      </c>
      <c r="U50" s="21">
        <v>-1406000</v>
      </c>
      <c r="V50" s="21">
        <v>-482000</v>
      </c>
      <c r="W50" s="21">
        <v>-53000</v>
      </c>
      <c r="X50" s="21">
        <v>-125000</v>
      </c>
      <c r="Y50" s="21">
        <v>-1645000</v>
      </c>
      <c r="Z50" s="21">
        <v>102000</v>
      </c>
      <c r="AA50" s="21">
        <v>-1642000</v>
      </c>
      <c r="AB50" s="21">
        <v>-440000</v>
      </c>
      <c r="AC50" s="21">
        <v>387000</v>
      </c>
      <c r="AD50" s="21">
        <v>1115000</v>
      </c>
      <c r="AE50" s="21">
        <v>-630000</v>
      </c>
      <c r="AF50" s="21">
        <v>-1165000</v>
      </c>
      <c r="AG50" s="21">
        <v>4174000</v>
      </c>
      <c r="AH50" s="21">
        <v>2524000</v>
      </c>
      <c r="AI50" s="22">
        <v>895000</v>
      </c>
      <c r="AJ50" s="21">
        <v>384000</v>
      </c>
      <c r="AK50" s="21"/>
    </row>
    <row r="51" spans="1:37" x14ac:dyDescent="0.25">
      <c r="A51" s="5" t="s">
        <v>85</v>
      </c>
      <c r="B51" s="14">
        <v>0</v>
      </c>
      <c r="C51" s="14">
        <v>0</v>
      </c>
      <c r="D51" s="21">
        <v>-1335000</v>
      </c>
      <c r="E51" s="21">
        <v>-69000</v>
      </c>
      <c r="F51" s="14">
        <v>0</v>
      </c>
      <c r="G51" s="21">
        <v>-2000</v>
      </c>
      <c r="H51" s="21">
        <v>-2000</v>
      </c>
      <c r="I51" s="14">
        <v>0</v>
      </c>
      <c r="J51" s="14">
        <v>0</v>
      </c>
      <c r="K51" s="21">
        <v>-7000</v>
      </c>
      <c r="L51" s="14">
        <v>0</v>
      </c>
      <c r="M51" s="14">
        <v>0</v>
      </c>
      <c r="N51" s="14">
        <v>0</v>
      </c>
      <c r="O51" s="21">
        <v>-57000</v>
      </c>
      <c r="P51" s="21">
        <v>14000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5">
        <v>0</v>
      </c>
      <c r="AJ51" s="14">
        <v>0</v>
      </c>
      <c r="AK51" s="14"/>
    </row>
    <row r="52" spans="1:37" x14ac:dyDescent="0.25">
      <c r="A52" s="5" t="s">
        <v>86</v>
      </c>
      <c r="B52" s="21">
        <v>310000</v>
      </c>
      <c r="C52" s="21">
        <v>-507000</v>
      </c>
      <c r="D52" s="21">
        <v>-1606000</v>
      </c>
      <c r="E52" s="21">
        <v>-238000</v>
      </c>
      <c r="F52" s="21">
        <v>201000</v>
      </c>
      <c r="G52" s="21">
        <v>301000</v>
      </c>
      <c r="H52" s="21">
        <v>273000</v>
      </c>
      <c r="I52" s="21">
        <v>452000</v>
      </c>
      <c r="J52" s="21">
        <v>364000</v>
      </c>
      <c r="K52" s="21">
        <v>44000</v>
      </c>
      <c r="L52" s="21">
        <v>-21000</v>
      </c>
      <c r="M52" s="21">
        <v>-218000</v>
      </c>
      <c r="N52" s="21">
        <v>61000</v>
      </c>
      <c r="O52" s="21">
        <v>-420000</v>
      </c>
      <c r="P52" s="21">
        <v>1168000</v>
      </c>
      <c r="Q52" s="21">
        <v>947000</v>
      </c>
      <c r="R52" s="21">
        <v>1399000</v>
      </c>
      <c r="S52" s="21">
        <v>890000</v>
      </c>
      <c r="T52" s="21">
        <v>2154000</v>
      </c>
      <c r="U52" s="21">
        <v>-1406000</v>
      </c>
      <c r="V52" s="21">
        <v>-482000</v>
      </c>
      <c r="W52" s="21">
        <v>-53000</v>
      </c>
      <c r="X52" s="21">
        <v>-125000</v>
      </c>
      <c r="Y52" s="21">
        <v>-1645000</v>
      </c>
      <c r="Z52" s="21">
        <v>102000</v>
      </c>
      <c r="AA52" s="21">
        <v>-1642000</v>
      </c>
      <c r="AB52" s="21">
        <v>-440000</v>
      </c>
      <c r="AC52" s="21">
        <v>387000</v>
      </c>
      <c r="AD52" s="21">
        <v>1115000</v>
      </c>
      <c r="AE52" s="21">
        <v>-630000</v>
      </c>
      <c r="AF52" s="21">
        <v>-1165000</v>
      </c>
      <c r="AG52" s="21">
        <v>4174000</v>
      </c>
      <c r="AH52" s="21">
        <v>2524000</v>
      </c>
      <c r="AI52" s="22">
        <v>895000</v>
      </c>
      <c r="AJ52" s="21">
        <v>384000</v>
      </c>
      <c r="AK52" s="21"/>
    </row>
    <row r="53" spans="1:37" x14ac:dyDescent="0.25">
      <c r="A53" s="5" t="s">
        <v>87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21">
        <v>-33000</v>
      </c>
      <c r="Q53" s="21">
        <v>-37000</v>
      </c>
      <c r="R53" s="21">
        <v>-25000</v>
      </c>
      <c r="S53" s="21">
        <v>-11000</v>
      </c>
      <c r="T53" s="21">
        <v>-42000</v>
      </c>
      <c r="U53" s="21">
        <v>5000</v>
      </c>
      <c r="V53" s="14">
        <v>0</v>
      </c>
      <c r="W53" s="14">
        <v>0</v>
      </c>
      <c r="X53" s="21">
        <v>1000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5">
        <v>0</v>
      </c>
      <c r="AJ53" s="14">
        <v>0</v>
      </c>
      <c r="AK53" s="14"/>
    </row>
    <row r="54" spans="1:37" x14ac:dyDescent="0.25">
      <c r="A54" s="5" t="s">
        <v>88</v>
      </c>
      <c r="B54" s="21">
        <v>310000</v>
      </c>
      <c r="C54" s="21">
        <v>-507000</v>
      </c>
      <c r="D54" s="21">
        <v>-1606000</v>
      </c>
      <c r="E54" s="21">
        <v>-238000</v>
      </c>
      <c r="F54" s="21">
        <v>201000</v>
      </c>
      <c r="G54" s="21">
        <v>301000</v>
      </c>
      <c r="H54" s="21">
        <v>273000</v>
      </c>
      <c r="I54" s="21">
        <v>452000</v>
      </c>
      <c r="J54" s="21">
        <v>364000</v>
      </c>
      <c r="K54" s="21">
        <v>44000</v>
      </c>
      <c r="L54" s="21">
        <v>-21000</v>
      </c>
      <c r="M54" s="21">
        <v>-218000</v>
      </c>
      <c r="N54" s="21">
        <v>61000</v>
      </c>
      <c r="O54" s="21">
        <v>-420000</v>
      </c>
      <c r="P54" s="21">
        <v>1135000</v>
      </c>
      <c r="Q54" s="21">
        <v>910000</v>
      </c>
      <c r="R54" s="21">
        <v>1374000</v>
      </c>
      <c r="S54" s="21">
        <v>879000</v>
      </c>
      <c r="T54" s="21">
        <v>2112000</v>
      </c>
      <c r="U54" s="21">
        <v>-1401000</v>
      </c>
      <c r="V54" s="21">
        <v>-482000</v>
      </c>
      <c r="W54" s="21">
        <v>-53000</v>
      </c>
      <c r="X54" s="21">
        <v>-124000</v>
      </c>
      <c r="Y54" s="21">
        <v>-1645000</v>
      </c>
      <c r="Z54" s="21">
        <v>102000</v>
      </c>
      <c r="AA54" s="21">
        <v>-1642000</v>
      </c>
      <c r="AB54" s="21">
        <v>-440000</v>
      </c>
      <c r="AC54" s="21">
        <v>387000</v>
      </c>
      <c r="AD54" s="21">
        <v>1115000</v>
      </c>
      <c r="AE54" s="21">
        <v>-630000</v>
      </c>
      <c r="AF54" s="21">
        <v>-1165000</v>
      </c>
      <c r="AG54" s="21">
        <v>4174000</v>
      </c>
      <c r="AH54" s="21">
        <v>2524000</v>
      </c>
      <c r="AI54" s="22">
        <v>895000</v>
      </c>
      <c r="AJ54" s="21">
        <v>384000</v>
      </c>
      <c r="AK54" s="21"/>
    </row>
    <row r="55" spans="1:37" x14ac:dyDescent="0.25">
      <c r="A55" s="5" t="s">
        <v>89</v>
      </c>
      <c r="B55" s="21">
        <v>4000</v>
      </c>
      <c r="C55" s="21">
        <v>2000</v>
      </c>
      <c r="D55" s="21">
        <v>3000</v>
      </c>
      <c r="E55" s="21">
        <v>21000</v>
      </c>
      <c r="F55" s="21">
        <v>25000</v>
      </c>
      <c r="G55" s="21">
        <v>24000</v>
      </c>
      <c r="H55" s="21">
        <v>22000</v>
      </c>
      <c r="I55" s="21">
        <v>3000</v>
      </c>
      <c r="J55" s="21">
        <v>9000</v>
      </c>
      <c r="K55" s="21">
        <v>9000</v>
      </c>
      <c r="L55" s="14">
        <v>0</v>
      </c>
      <c r="M55" s="14">
        <v>0</v>
      </c>
      <c r="N55" s="14">
        <v>0</v>
      </c>
      <c r="O55" s="21">
        <v>16000</v>
      </c>
      <c r="P55" s="21">
        <v>18000</v>
      </c>
      <c r="Q55" s="21">
        <v>18000</v>
      </c>
      <c r="R55" s="21">
        <v>8000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5">
        <v>0</v>
      </c>
      <c r="AJ55" s="14">
        <v>0</v>
      </c>
      <c r="AK55" s="14"/>
    </row>
    <row r="56" spans="1:37" x14ac:dyDescent="0.25">
      <c r="A56" s="5" t="s">
        <v>90</v>
      </c>
      <c r="B56" s="21">
        <v>306000</v>
      </c>
      <c r="C56" s="21">
        <v>-509000</v>
      </c>
      <c r="D56" s="21">
        <v>-1609000</v>
      </c>
      <c r="E56" s="21">
        <v>-259000</v>
      </c>
      <c r="F56" s="21">
        <v>176000</v>
      </c>
      <c r="G56" s="21">
        <v>277000</v>
      </c>
      <c r="H56" s="21">
        <v>251000</v>
      </c>
      <c r="I56" s="21">
        <v>449000</v>
      </c>
      <c r="J56" s="21">
        <v>355000</v>
      </c>
      <c r="K56" s="21">
        <v>35000</v>
      </c>
      <c r="L56" s="21">
        <v>-21000</v>
      </c>
      <c r="M56" s="21">
        <v>-218000</v>
      </c>
      <c r="N56" s="21">
        <v>61000</v>
      </c>
      <c r="O56" s="21">
        <v>-436000</v>
      </c>
      <c r="P56" s="21">
        <v>1117000</v>
      </c>
      <c r="Q56" s="21">
        <v>892000</v>
      </c>
      <c r="R56" s="21">
        <v>1366000</v>
      </c>
      <c r="S56" s="21">
        <v>879000</v>
      </c>
      <c r="T56" s="21">
        <v>2112000</v>
      </c>
      <c r="U56" s="21">
        <v>-1401000</v>
      </c>
      <c r="V56" s="21">
        <v>-482000</v>
      </c>
      <c r="W56" s="21">
        <v>-53000</v>
      </c>
      <c r="X56" s="21">
        <v>-124000</v>
      </c>
      <c r="Y56" s="21">
        <v>-1645000</v>
      </c>
      <c r="Z56" s="21">
        <v>102000</v>
      </c>
      <c r="AA56" s="21">
        <v>-1642000</v>
      </c>
      <c r="AB56" s="21">
        <v>-440000</v>
      </c>
      <c r="AC56" s="21">
        <v>387000</v>
      </c>
      <c r="AD56" s="21">
        <v>1115000</v>
      </c>
      <c r="AE56" s="21">
        <v>-630000</v>
      </c>
      <c r="AF56" s="21">
        <v>-1165000</v>
      </c>
      <c r="AG56" s="21">
        <v>4174000</v>
      </c>
      <c r="AH56" s="21">
        <v>2524000</v>
      </c>
      <c r="AI56" s="22">
        <v>895000</v>
      </c>
      <c r="AJ56" s="21">
        <v>384000</v>
      </c>
      <c r="AK56" s="21"/>
    </row>
    <row r="57" spans="1:37" x14ac:dyDescent="0.25">
      <c r="A57" s="5" t="s">
        <v>91</v>
      </c>
      <c r="B57" s="21">
        <v>306000</v>
      </c>
      <c r="C57" s="21">
        <v>-509000</v>
      </c>
      <c r="D57" s="21">
        <v>-274000</v>
      </c>
      <c r="E57" s="21">
        <v>-190000</v>
      </c>
      <c r="F57" s="21">
        <v>176000</v>
      </c>
      <c r="G57" s="21">
        <v>279000</v>
      </c>
      <c r="H57" s="21">
        <v>253000</v>
      </c>
      <c r="I57" s="21">
        <v>449000</v>
      </c>
      <c r="J57" s="21">
        <v>355000</v>
      </c>
      <c r="K57" s="21">
        <v>42000</v>
      </c>
      <c r="L57" s="21">
        <v>-21000</v>
      </c>
      <c r="M57" s="21">
        <v>-218000</v>
      </c>
      <c r="N57" s="21">
        <v>61000</v>
      </c>
      <c r="O57" s="21">
        <v>-379000</v>
      </c>
      <c r="P57" s="21">
        <v>1103000</v>
      </c>
      <c r="Q57" s="21">
        <v>892000</v>
      </c>
      <c r="R57" s="21">
        <v>1366000</v>
      </c>
      <c r="S57" s="21">
        <v>879000</v>
      </c>
      <c r="T57" s="21">
        <v>2112000</v>
      </c>
      <c r="U57" s="21">
        <v>-1401000</v>
      </c>
      <c r="V57" s="21">
        <v>-482000</v>
      </c>
      <c r="W57" s="21">
        <v>-53000</v>
      </c>
      <c r="X57" s="21">
        <v>-124000</v>
      </c>
      <c r="Y57" s="21">
        <v>-1645000</v>
      </c>
      <c r="Z57" s="21">
        <v>102000</v>
      </c>
      <c r="AA57" s="21">
        <v>-1642000</v>
      </c>
      <c r="AB57" s="21">
        <v>-440000</v>
      </c>
      <c r="AC57" s="21">
        <v>387000</v>
      </c>
      <c r="AD57" s="21">
        <v>1115000</v>
      </c>
      <c r="AE57" s="21">
        <v>-630000</v>
      </c>
      <c r="AF57" s="21">
        <v>-1165000</v>
      </c>
      <c r="AG57" s="21">
        <v>4174000</v>
      </c>
      <c r="AH57" s="21">
        <v>2524000</v>
      </c>
      <c r="AI57" s="22">
        <v>895000</v>
      </c>
      <c r="AJ57" s="21">
        <v>384000</v>
      </c>
      <c r="AK57" s="21"/>
    </row>
    <row r="58" spans="1:37" x14ac:dyDescent="0.25">
      <c r="A58" s="20" t="s">
        <v>92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14"/>
      <c r="AK58" s="14"/>
    </row>
    <row r="59" spans="1:37" x14ac:dyDescent="0.25">
      <c r="A59" s="5" t="s">
        <v>93</v>
      </c>
      <c r="B59" s="28">
        <v>6</v>
      </c>
      <c r="C59" s="28">
        <v>-9.9909999999999997</v>
      </c>
      <c r="D59" s="28">
        <v>-28.853999999999999</v>
      </c>
      <c r="E59" s="28">
        <v>-4.024</v>
      </c>
      <c r="F59" s="28">
        <v>2.3410000000000002</v>
      </c>
      <c r="G59" s="28">
        <v>3.5030000000000001</v>
      </c>
      <c r="H59" s="28">
        <v>2.9870000000000001</v>
      </c>
      <c r="I59" s="28">
        <v>5.2409999999999997</v>
      </c>
      <c r="J59" s="28">
        <v>4.0570000000000004</v>
      </c>
      <c r="K59" s="28">
        <v>0.39600000000000002</v>
      </c>
      <c r="L59" s="28">
        <v>-0.23499999999999999</v>
      </c>
      <c r="M59" s="28">
        <v>-2.4430000000000001</v>
      </c>
      <c r="N59" s="28">
        <v>0.626</v>
      </c>
      <c r="O59" s="28">
        <v>-4.226</v>
      </c>
      <c r="P59" s="28">
        <v>9.9879999999999995</v>
      </c>
      <c r="Q59" s="28">
        <v>7.8609999999999998</v>
      </c>
      <c r="R59" s="28">
        <v>11.887</v>
      </c>
      <c r="S59" s="28">
        <v>7.4429999999999996</v>
      </c>
      <c r="T59" s="28">
        <v>18.036000000000001</v>
      </c>
      <c r="U59" s="28">
        <v>-10.419</v>
      </c>
      <c r="V59" s="28">
        <v>-3.3570000000000002</v>
      </c>
      <c r="W59" s="28">
        <v>-0.36799999999999999</v>
      </c>
      <c r="X59" s="28">
        <v>-0.86</v>
      </c>
      <c r="Y59" s="28">
        <v>-11.378</v>
      </c>
      <c r="Z59" s="28">
        <v>0.70299999999999996</v>
      </c>
      <c r="AA59" s="28">
        <v>-11.239000000000001</v>
      </c>
      <c r="AB59" s="28">
        <v>-2.8079999999999998</v>
      </c>
      <c r="AC59" s="28">
        <v>2.214</v>
      </c>
      <c r="AD59" s="28">
        <v>6.3129999999999997</v>
      </c>
      <c r="AE59" s="28">
        <v>-3.6749999999999998</v>
      </c>
      <c r="AF59" s="28">
        <v>-5.9219999999999997</v>
      </c>
      <c r="AG59" s="28">
        <v>15.771000000000001</v>
      </c>
      <c r="AH59" s="28">
        <v>10.218999999999999</v>
      </c>
      <c r="AI59" s="29">
        <v>3.9820000000000002</v>
      </c>
      <c r="AJ59" s="28">
        <v>1.708</v>
      </c>
      <c r="AK59" s="28"/>
    </row>
    <row r="60" spans="1:37" x14ac:dyDescent="0.25">
      <c r="A60" s="5" t="s">
        <v>94</v>
      </c>
      <c r="B60" s="28">
        <v>6</v>
      </c>
      <c r="C60" s="28">
        <v>-9.9909999999999997</v>
      </c>
      <c r="D60" s="28">
        <v>-4.9139999999999997</v>
      </c>
      <c r="E60" s="28">
        <v>-2.952</v>
      </c>
      <c r="F60" s="28">
        <v>2.3410000000000002</v>
      </c>
      <c r="G60" s="28">
        <v>3.5289999999999999</v>
      </c>
      <c r="H60" s="28">
        <v>3.0110000000000001</v>
      </c>
      <c r="I60" s="28">
        <v>5.2409999999999997</v>
      </c>
      <c r="J60" s="28">
        <v>4.0570000000000004</v>
      </c>
      <c r="K60" s="28">
        <v>0.47499999999999998</v>
      </c>
      <c r="L60" s="28">
        <v>-0.23499999999999999</v>
      </c>
      <c r="M60" s="28">
        <v>-2.4430000000000001</v>
      </c>
      <c r="N60" s="28">
        <v>0.626</v>
      </c>
      <c r="O60" s="28">
        <v>-3.673</v>
      </c>
      <c r="P60" s="28">
        <v>9.8620000000000001</v>
      </c>
      <c r="Q60" s="28">
        <v>7.8609999999999998</v>
      </c>
      <c r="R60" s="28">
        <v>11.887</v>
      </c>
      <c r="S60" s="28">
        <v>7.4429999999999996</v>
      </c>
      <c r="T60" s="28">
        <v>18.036000000000001</v>
      </c>
      <c r="U60" s="28">
        <v>-10.419</v>
      </c>
      <c r="V60" s="28">
        <v>-3.3570000000000002</v>
      </c>
      <c r="W60" s="28">
        <v>-0.36799999999999999</v>
      </c>
      <c r="X60" s="28">
        <v>-0.86</v>
      </c>
      <c r="Y60" s="28">
        <v>-11.378</v>
      </c>
      <c r="Z60" s="28">
        <v>0.70299999999999996</v>
      </c>
      <c r="AA60" s="28">
        <v>-11.239000000000001</v>
      </c>
      <c r="AB60" s="28">
        <v>-2.8079999999999998</v>
      </c>
      <c r="AC60" s="28">
        <v>2.214</v>
      </c>
      <c r="AD60" s="28">
        <v>6.3129999999999997</v>
      </c>
      <c r="AE60" s="28">
        <v>-3.6749999999999998</v>
      </c>
      <c r="AF60" s="28">
        <v>-5.9219999999999997</v>
      </c>
      <c r="AG60" s="28">
        <v>15.771000000000001</v>
      </c>
      <c r="AH60" s="28">
        <v>10.218999999999999</v>
      </c>
      <c r="AI60" s="29">
        <v>3.9820000000000002</v>
      </c>
      <c r="AJ60" s="28">
        <v>1.708</v>
      </c>
      <c r="AK60" s="28"/>
    </row>
    <row r="61" spans="1:37" x14ac:dyDescent="0.25">
      <c r="A61" s="5" t="s">
        <v>95</v>
      </c>
      <c r="B61" s="21">
        <v>51000000</v>
      </c>
      <c r="C61" s="21">
        <v>50948000</v>
      </c>
      <c r="D61" s="21">
        <v>55764000</v>
      </c>
      <c r="E61" s="21">
        <v>64370000</v>
      </c>
      <c r="F61" s="21">
        <v>75184000</v>
      </c>
      <c r="G61" s="21">
        <v>79064000</v>
      </c>
      <c r="H61" s="21">
        <v>84025000</v>
      </c>
      <c r="I61" s="21">
        <v>85672000</v>
      </c>
      <c r="J61" s="21">
        <v>87508000</v>
      </c>
      <c r="K61" s="21">
        <v>88400000</v>
      </c>
      <c r="L61" s="21">
        <v>89223000</v>
      </c>
      <c r="M61" s="21">
        <v>89223000</v>
      </c>
      <c r="N61" s="21">
        <v>97426000</v>
      </c>
      <c r="O61" s="21">
        <v>103179000</v>
      </c>
      <c r="P61" s="21">
        <v>111838000</v>
      </c>
      <c r="Q61" s="21">
        <v>113470000</v>
      </c>
      <c r="R61" s="21">
        <v>114918000</v>
      </c>
      <c r="S61" s="21">
        <v>118090000</v>
      </c>
      <c r="T61" s="21">
        <v>117102000</v>
      </c>
      <c r="U61" s="21">
        <v>134469000</v>
      </c>
      <c r="V61" s="21">
        <v>143571000</v>
      </c>
      <c r="W61" s="21">
        <v>143967000</v>
      </c>
      <c r="X61" s="21">
        <v>144237000</v>
      </c>
      <c r="Y61" s="21">
        <v>144578000</v>
      </c>
      <c r="Z61" s="21">
        <v>145164000</v>
      </c>
      <c r="AA61" s="21">
        <v>146094000</v>
      </c>
      <c r="AB61" s="21">
        <v>156673000</v>
      </c>
      <c r="AC61" s="21">
        <v>174793000</v>
      </c>
      <c r="AD61" s="21">
        <v>176633000</v>
      </c>
      <c r="AE61" s="21">
        <v>171418000</v>
      </c>
      <c r="AF61" s="21">
        <v>196721000</v>
      </c>
      <c r="AG61" s="21">
        <v>264667000</v>
      </c>
      <c r="AH61" s="21">
        <v>246986000</v>
      </c>
      <c r="AI61" s="22">
        <v>224761000</v>
      </c>
      <c r="AJ61" s="21">
        <v>224817000</v>
      </c>
      <c r="AK61" s="21"/>
    </row>
    <row r="62" spans="1:37" x14ac:dyDescent="0.25">
      <c r="A62" s="5" t="s">
        <v>96</v>
      </c>
      <c r="B62" s="28">
        <v>5.83</v>
      </c>
      <c r="C62" s="28">
        <v>-9.9909999999999997</v>
      </c>
      <c r="D62" s="28">
        <v>-28.86</v>
      </c>
      <c r="E62" s="28">
        <v>-4.032</v>
      </c>
      <c r="F62" s="28">
        <v>2.33</v>
      </c>
      <c r="G62" s="28">
        <v>3.4119999999999999</v>
      </c>
      <c r="H62" s="28">
        <v>2.9550000000000001</v>
      </c>
      <c r="I62" s="28">
        <v>4.883</v>
      </c>
      <c r="J62" s="28">
        <v>3.9180000000000001</v>
      </c>
      <c r="K62" s="28">
        <v>0.39600000000000002</v>
      </c>
      <c r="L62" s="28">
        <v>-0.24</v>
      </c>
      <c r="M62" s="28">
        <v>-2.4500000000000002</v>
      </c>
      <c r="N62" s="28">
        <v>0.62</v>
      </c>
      <c r="O62" s="28">
        <v>-4.226</v>
      </c>
      <c r="P62" s="28">
        <v>8.8230000000000004</v>
      </c>
      <c r="Q62" s="28">
        <v>7.0019999999999998</v>
      </c>
      <c r="R62" s="28">
        <v>11.178000000000001</v>
      </c>
      <c r="S62" s="28">
        <v>7.4</v>
      </c>
      <c r="T62" s="28">
        <v>17.96</v>
      </c>
      <c r="U62" s="28">
        <v>-10.42</v>
      </c>
      <c r="V62" s="28">
        <v>-3.36</v>
      </c>
      <c r="W62" s="28">
        <v>-0.37</v>
      </c>
      <c r="X62" s="28">
        <v>-0.86</v>
      </c>
      <c r="Y62" s="28">
        <v>-11.378</v>
      </c>
      <c r="Z62" s="28">
        <v>0.69</v>
      </c>
      <c r="AA62" s="28">
        <v>-11.24</v>
      </c>
      <c r="AB62" s="28">
        <v>-2.81</v>
      </c>
      <c r="AC62" s="28">
        <v>2.19</v>
      </c>
      <c r="AD62" s="28">
        <v>6.25</v>
      </c>
      <c r="AE62" s="28">
        <v>-3.6749999999999998</v>
      </c>
      <c r="AF62" s="28">
        <v>-5.9219999999999997</v>
      </c>
      <c r="AG62" s="28">
        <v>14.88</v>
      </c>
      <c r="AH62" s="28">
        <v>9.16</v>
      </c>
      <c r="AI62" s="29">
        <v>3.556</v>
      </c>
      <c r="AJ62" s="28">
        <v>1.5629999999999999</v>
      </c>
      <c r="AK62" s="28"/>
    </row>
    <row r="63" spans="1:37" x14ac:dyDescent="0.25">
      <c r="A63" s="5" t="s">
        <v>97</v>
      </c>
      <c r="B63" s="28">
        <v>5.83</v>
      </c>
      <c r="C63" s="28">
        <v>-9.9909999999999997</v>
      </c>
      <c r="D63" s="28">
        <v>-4.92</v>
      </c>
      <c r="E63" s="28">
        <v>-2.96</v>
      </c>
      <c r="F63" s="28">
        <v>2.33</v>
      </c>
      <c r="G63" s="28">
        <v>3.4350000000000001</v>
      </c>
      <c r="H63" s="28">
        <v>2.9780000000000002</v>
      </c>
      <c r="I63" s="28">
        <v>4.883</v>
      </c>
      <c r="J63" s="28">
        <v>3.9180000000000001</v>
      </c>
      <c r="K63" s="28">
        <v>0.47499999999999998</v>
      </c>
      <c r="L63" s="28">
        <v>-0.24</v>
      </c>
      <c r="M63" s="28">
        <v>-2.4500000000000002</v>
      </c>
      <c r="N63" s="28">
        <v>0.62</v>
      </c>
      <c r="O63" s="28">
        <v>-3.673</v>
      </c>
      <c r="P63" s="28">
        <v>8.7140000000000004</v>
      </c>
      <c r="Q63" s="28">
        <v>7.0019999999999998</v>
      </c>
      <c r="R63" s="28">
        <v>11.178000000000001</v>
      </c>
      <c r="S63" s="28">
        <v>7.4</v>
      </c>
      <c r="T63" s="28">
        <v>17.96</v>
      </c>
      <c r="U63" s="28">
        <v>-10.42</v>
      </c>
      <c r="V63" s="28">
        <v>-3.36</v>
      </c>
      <c r="W63" s="28">
        <v>-0.37</v>
      </c>
      <c r="X63" s="28">
        <v>-0.86</v>
      </c>
      <c r="Y63" s="28">
        <v>-11.378</v>
      </c>
      <c r="Z63" s="28">
        <v>0.69</v>
      </c>
      <c r="AA63" s="28">
        <v>-11.24</v>
      </c>
      <c r="AB63" s="28">
        <v>-2.81</v>
      </c>
      <c r="AC63" s="28">
        <v>2.19</v>
      </c>
      <c r="AD63" s="28">
        <v>6.25</v>
      </c>
      <c r="AE63" s="28">
        <v>-3.6749999999999998</v>
      </c>
      <c r="AF63" s="28">
        <v>-5.9219999999999997</v>
      </c>
      <c r="AG63" s="28">
        <v>14.88</v>
      </c>
      <c r="AH63" s="28">
        <v>9.16</v>
      </c>
      <c r="AI63" s="29">
        <v>3.556</v>
      </c>
      <c r="AJ63" s="28">
        <v>1.5629999999999999</v>
      </c>
      <c r="AK63" s="28"/>
    </row>
    <row r="64" spans="1:37" x14ac:dyDescent="0.25">
      <c r="A64" s="5" t="s">
        <v>98</v>
      </c>
      <c r="B64" s="21">
        <v>54000000</v>
      </c>
      <c r="C64" s="21">
        <v>50948000</v>
      </c>
      <c r="D64" s="21">
        <v>55764000</v>
      </c>
      <c r="E64" s="21">
        <v>64370000</v>
      </c>
      <c r="F64" s="21">
        <v>78624000</v>
      </c>
      <c r="G64" s="21">
        <v>89379000</v>
      </c>
      <c r="H64" s="21">
        <v>85962000</v>
      </c>
      <c r="I64" s="21">
        <v>94203000</v>
      </c>
      <c r="J64" s="21">
        <v>94943000</v>
      </c>
      <c r="K64" s="21">
        <v>88400000</v>
      </c>
      <c r="L64" s="21">
        <v>89223000</v>
      </c>
      <c r="M64" s="21">
        <v>89223000</v>
      </c>
      <c r="N64" s="21">
        <v>97428000</v>
      </c>
      <c r="O64" s="21">
        <v>103179000</v>
      </c>
      <c r="P64" s="21">
        <v>128643000</v>
      </c>
      <c r="Q64" s="21">
        <v>129970000</v>
      </c>
      <c r="R64" s="21">
        <v>122918000</v>
      </c>
      <c r="S64" s="21">
        <v>118815000</v>
      </c>
      <c r="T64" s="21">
        <v>117621000</v>
      </c>
      <c r="U64" s="21">
        <v>134469000</v>
      </c>
      <c r="V64" s="21">
        <v>143571000</v>
      </c>
      <c r="W64" s="21">
        <v>143967000</v>
      </c>
      <c r="X64" s="21">
        <v>144237000</v>
      </c>
      <c r="Y64" s="21">
        <v>144578000</v>
      </c>
      <c r="Z64" s="21">
        <v>152103000</v>
      </c>
      <c r="AA64" s="21">
        <v>146094000</v>
      </c>
      <c r="AB64" s="21">
        <v>156673000</v>
      </c>
      <c r="AC64" s="21">
        <v>176520000</v>
      </c>
      <c r="AD64" s="21">
        <v>178461000</v>
      </c>
      <c r="AE64" s="21">
        <v>171418000</v>
      </c>
      <c r="AF64" s="21">
        <v>196721000</v>
      </c>
      <c r="AG64" s="21">
        <v>280444000</v>
      </c>
      <c r="AH64" s="21">
        <v>276963000</v>
      </c>
      <c r="AI64" s="22">
        <v>255360000</v>
      </c>
      <c r="AJ64" s="21">
        <v>254004000</v>
      </c>
      <c r="AK64" s="21"/>
    </row>
    <row r="65" spans="1:37" x14ac:dyDescent="0.25">
      <c r="A65" s="5" t="s">
        <v>99</v>
      </c>
      <c r="B65" s="28">
        <v>5.3550000000000004</v>
      </c>
      <c r="C65" s="28">
        <v>-4.5629999999999997</v>
      </c>
      <c r="D65" s="28">
        <v>-4.5620000000000003</v>
      </c>
      <c r="E65" s="28">
        <v>-3.7280000000000002</v>
      </c>
      <c r="F65" s="28">
        <v>2.0529999999999999</v>
      </c>
      <c r="G65" s="28">
        <v>3.5409999999999999</v>
      </c>
      <c r="H65" s="28">
        <v>2.2170000000000001</v>
      </c>
      <c r="I65" s="28">
        <v>4.5890000000000004</v>
      </c>
      <c r="J65" s="28">
        <v>3.45</v>
      </c>
      <c r="K65" s="28">
        <v>0.38900000000000001</v>
      </c>
      <c r="L65" s="28">
        <v>-0.32900000000000001</v>
      </c>
      <c r="M65" s="28">
        <v>-3.9790000000000001</v>
      </c>
      <c r="N65" s="28">
        <v>-0.10299999999999999</v>
      </c>
      <c r="O65" s="28">
        <v>-1.296</v>
      </c>
      <c r="P65" s="28">
        <v>8.0649999999999995</v>
      </c>
      <c r="Q65" s="28">
        <v>6.8949999999999996</v>
      </c>
      <c r="R65" s="28">
        <v>9.4359999999999999</v>
      </c>
      <c r="S65" s="28">
        <v>6.0890000000000004</v>
      </c>
      <c r="T65" s="28">
        <v>14.798999999999999</v>
      </c>
      <c r="U65" s="28">
        <v>-8.58</v>
      </c>
      <c r="V65" s="28">
        <v>-1.706</v>
      </c>
      <c r="W65" s="28">
        <v>8.9999999999999993E-3</v>
      </c>
      <c r="X65" s="28">
        <v>1.3160000000000001</v>
      </c>
      <c r="Y65" s="28">
        <v>-0.623</v>
      </c>
      <c r="Z65" s="28">
        <v>3.4790000000000001</v>
      </c>
      <c r="AA65" s="28">
        <v>-3.0419999999999998</v>
      </c>
      <c r="AB65" s="28">
        <v>-1.0089999999999999</v>
      </c>
      <c r="AC65" s="28">
        <v>1.119</v>
      </c>
      <c r="AD65" s="28">
        <v>3.0640000000000001</v>
      </c>
      <c r="AE65" s="28">
        <v>-0.64900000000000002</v>
      </c>
      <c r="AF65" s="28">
        <v>-3.0790000000000002</v>
      </c>
      <c r="AG65" s="28">
        <v>10.438000000000001</v>
      </c>
      <c r="AH65" s="28">
        <v>8.766</v>
      </c>
      <c r="AI65" s="29">
        <v>3.37</v>
      </c>
      <c r="AJ65" s="28">
        <v>1.298</v>
      </c>
      <c r="AK65" s="28"/>
    </row>
    <row r="66" spans="1:37" x14ac:dyDescent="0.25">
      <c r="A66" s="5" t="s">
        <v>100</v>
      </c>
      <c r="B66" s="28">
        <v>5.0579999999999998</v>
      </c>
      <c r="C66" s="28">
        <v>-4.5629999999999997</v>
      </c>
      <c r="D66" s="28">
        <v>-4.5620000000000003</v>
      </c>
      <c r="E66" s="28">
        <v>-3.7280000000000002</v>
      </c>
      <c r="F66" s="28">
        <v>1.9630000000000001</v>
      </c>
      <c r="G66" s="28">
        <v>3.133</v>
      </c>
      <c r="H66" s="28">
        <v>2.1669999999999998</v>
      </c>
      <c r="I66" s="28">
        <v>4.173</v>
      </c>
      <c r="J66" s="28">
        <v>3.18</v>
      </c>
      <c r="K66" s="28">
        <v>0.38900000000000001</v>
      </c>
      <c r="L66" s="28">
        <v>-0.32900000000000001</v>
      </c>
      <c r="M66" s="28">
        <v>-3.9790000000000001</v>
      </c>
      <c r="N66" s="28">
        <v>-0.10299999999999999</v>
      </c>
      <c r="O66" s="28">
        <v>-1.296</v>
      </c>
      <c r="P66" s="28">
        <v>7.0119999999999996</v>
      </c>
      <c r="Q66" s="28">
        <v>6.02</v>
      </c>
      <c r="R66" s="28">
        <v>8.8219999999999992</v>
      </c>
      <c r="S66" s="28">
        <v>6.0510000000000002</v>
      </c>
      <c r="T66" s="28">
        <v>14.734</v>
      </c>
      <c r="U66" s="28">
        <v>-8.58</v>
      </c>
      <c r="V66" s="28">
        <v>-1.706</v>
      </c>
      <c r="W66" s="28">
        <v>8.9999999999999993E-3</v>
      </c>
      <c r="X66" s="28">
        <v>1.3160000000000001</v>
      </c>
      <c r="Y66" s="28">
        <v>-0.623</v>
      </c>
      <c r="Z66" s="28">
        <v>3.32</v>
      </c>
      <c r="AA66" s="28">
        <v>-3.0419999999999998</v>
      </c>
      <c r="AB66" s="28">
        <v>-1.0089999999999999</v>
      </c>
      <c r="AC66" s="28">
        <v>1.1080000000000001</v>
      </c>
      <c r="AD66" s="28">
        <v>3.0329999999999999</v>
      </c>
      <c r="AE66" s="28">
        <v>-0.64900000000000002</v>
      </c>
      <c r="AF66" s="28">
        <v>-3.0790000000000002</v>
      </c>
      <c r="AG66" s="28">
        <v>9.85</v>
      </c>
      <c r="AH66" s="28">
        <v>7.8170000000000002</v>
      </c>
      <c r="AI66" s="29">
        <v>2.9660000000000002</v>
      </c>
      <c r="AJ66" s="28">
        <v>1.149</v>
      </c>
      <c r="AK66" s="28"/>
    </row>
    <row r="67" spans="1:37" x14ac:dyDescent="0.25">
      <c r="A67" s="5" t="s">
        <v>101</v>
      </c>
      <c r="B67" s="28">
        <v>0.88</v>
      </c>
      <c r="C67" s="28">
        <v>0.94</v>
      </c>
      <c r="D67" s="28">
        <v>1</v>
      </c>
      <c r="E67" s="28">
        <v>1</v>
      </c>
      <c r="F67" s="28">
        <v>1</v>
      </c>
      <c r="G67" s="28">
        <v>1</v>
      </c>
      <c r="H67" s="28">
        <v>1</v>
      </c>
      <c r="I67" s="28">
        <v>1</v>
      </c>
      <c r="J67" s="28">
        <v>1</v>
      </c>
      <c r="K67" s="28">
        <v>1</v>
      </c>
      <c r="L67" s="28">
        <v>1</v>
      </c>
      <c r="M67" s="28">
        <v>0.55000000000000004</v>
      </c>
      <c r="N67" s="28">
        <v>0.2</v>
      </c>
      <c r="O67" s="28">
        <v>0.2</v>
      </c>
      <c r="P67" s="28">
        <v>0.2</v>
      </c>
      <c r="Q67" s="28">
        <v>0.38</v>
      </c>
      <c r="R67" s="28">
        <v>0.6</v>
      </c>
      <c r="S67" s="28">
        <v>0.8</v>
      </c>
      <c r="T67" s="28">
        <v>1.1000000000000001</v>
      </c>
      <c r="U67" s="28">
        <v>0.45</v>
      </c>
      <c r="V67" s="28">
        <v>0.2</v>
      </c>
      <c r="W67" s="28">
        <v>0.2</v>
      </c>
      <c r="X67" s="28">
        <v>0.2</v>
      </c>
      <c r="Y67" s="28">
        <v>0.2</v>
      </c>
      <c r="Z67" s="28">
        <v>0.2</v>
      </c>
      <c r="AA67" s="28">
        <v>0.2</v>
      </c>
      <c r="AB67" s="28">
        <v>0.2</v>
      </c>
      <c r="AC67" s="28">
        <v>0.2</v>
      </c>
      <c r="AD67" s="28">
        <v>0.2</v>
      </c>
      <c r="AE67" s="28">
        <v>0.2</v>
      </c>
      <c r="AF67" s="28">
        <v>0.04</v>
      </c>
      <c r="AG67" s="28">
        <v>0.08</v>
      </c>
      <c r="AH67" s="28">
        <v>0.2</v>
      </c>
      <c r="AI67" s="29">
        <v>0.2</v>
      </c>
      <c r="AJ67" s="28">
        <v>0.2</v>
      </c>
      <c r="AK67" s="28"/>
    </row>
    <row r="68" spans="1:37" x14ac:dyDescent="0.25">
      <c r="A68" s="5" t="s">
        <v>102</v>
      </c>
      <c r="B68" s="28">
        <v>14.516</v>
      </c>
      <c r="C68" s="14" t="s">
        <v>103</v>
      </c>
      <c r="D68" s="14" t="s">
        <v>103</v>
      </c>
      <c r="E68" s="14" t="s">
        <v>103</v>
      </c>
      <c r="F68" s="28">
        <v>48.756</v>
      </c>
      <c r="G68" s="28">
        <v>30.896999999999998</v>
      </c>
      <c r="H68" s="28">
        <v>38.094999999999999</v>
      </c>
      <c r="I68" s="28">
        <v>21.239000000000001</v>
      </c>
      <c r="J68" s="28">
        <v>26.373999999999999</v>
      </c>
      <c r="K68" s="28">
        <v>220.45500000000001</v>
      </c>
      <c r="L68" s="14" t="s">
        <v>103</v>
      </c>
      <c r="M68" s="14" t="s">
        <v>103</v>
      </c>
      <c r="N68" s="28">
        <v>31.148</v>
      </c>
      <c r="O68" s="14" t="s">
        <v>103</v>
      </c>
      <c r="P68" s="28">
        <v>3.4359999999999999</v>
      </c>
      <c r="Q68" s="28">
        <v>6.593</v>
      </c>
      <c r="R68" s="28">
        <v>5.6040000000000001</v>
      </c>
      <c r="S68" s="28">
        <v>10.808</v>
      </c>
      <c r="T68" s="28">
        <v>6.1079999999999997</v>
      </c>
      <c r="U68" s="14" t="s">
        <v>103</v>
      </c>
      <c r="V68" s="14" t="s">
        <v>103</v>
      </c>
      <c r="W68" s="14" t="s">
        <v>103</v>
      </c>
      <c r="X68" s="14" t="s">
        <v>103</v>
      </c>
      <c r="Y68" s="14" t="s">
        <v>103</v>
      </c>
      <c r="Z68" s="28">
        <v>28.431000000000001</v>
      </c>
      <c r="AA68" s="14" t="s">
        <v>103</v>
      </c>
      <c r="AB68" s="14" t="s">
        <v>103</v>
      </c>
      <c r="AC68" s="28">
        <v>9.0440000000000005</v>
      </c>
      <c r="AD68" s="28">
        <v>3.2290000000000001</v>
      </c>
      <c r="AE68" s="14">
        <v>0</v>
      </c>
      <c r="AF68" s="14">
        <v>0</v>
      </c>
      <c r="AG68" s="14">
        <v>0</v>
      </c>
      <c r="AH68" s="14">
        <v>0</v>
      </c>
      <c r="AI68" s="15">
        <v>0</v>
      </c>
      <c r="AJ68" s="14">
        <v>0</v>
      </c>
      <c r="AK68" s="14"/>
    </row>
    <row r="69" spans="1:37" x14ac:dyDescent="0.25">
      <c r="A69" s="5" t="s">
        <v>104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2">
        <v>1</v>
      </c>
      <c r="AJ69" s="21">
        <v>1</v>
      </c>
      <c r="AK69" s="21"/>
    </row>
    <row r="70" spans="1:37" x14ac:dyDescent="0.25">
      <c r="A70" s="20" t="s">
        <v>105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4"/>
      <c r="AK70" s="14"/>
    </row>
    <row r="71" spans="1:37" x14ac:dyDescent="0.25">
      <c r="A71" s="5" t="s">
        <v>106</v>
      </c>
      <c r="B71" s="21">
        <v>753000</v>
      </c>
      <c r="C71" s="21">
        <v>38000</v>
      </c>
      <c r="D71" s="21">
        <v>57000</v>
      </c>
      <c r="E71" s="21">
        <v>207000</v>
      </c>
      <c r="F71" s="21">
        <v>638000</v>
      </c>
      <c r="G71" s="21">
        <v>815000</v>
      </c>
      <c r="H71" s="21">
        <v>638000</v>
      </c>
      <c r="I71" s="21">
        <v>949000</v>
      </c>
      <c r="J71" s="21">
        <v>763000</v>
      </c>
      <c r="K71" s="21">
        <v>520000</v>
      </c>
      <c r="L71" s="21">
        <v>422000</v>
      </c>
      <c r="M71" s="21">
        <v>-147000</v>
      </c>
      <c r="N71" s="21">
        <v>373000</v>
      </c>
      <c r="O71" s="21">
        <v>253000</v>
      </c>
      <c r="P71" s="21">
        <v>1903000</v>
      </c>
      <c r="Q71" s="21">
        <v>1774000</v>
      </c>
      <c r="R71" s="21">
        <v>2184000</v>
      </c>
      <c r="S71" s="21">
        <v>1727000</v>
      </c>
      <c r="T71" s="21">
        <v>3414000</v>
      </c>
      <c r="U71" s="21">
        <v>-1032000</v>
      </c>
      <c r="V71" s="21">
        <v>520000</v>
      </c>
      <c r="W71" s="21">
        <v>836000</v>
      </c>
      <c r="X71" s="21">
        <v>1060000</v>
      </c>
      <c r="Y71" s="21">
        <v>798000</v>
      </c>
      <c r="Z71" s="21">
        <v>1536000</v>
      </c>
      <c r="AA71" s="21">
        <v>19000</v>
      </c>
      <c r="AB71" s="21">
        <v>385000</v>
      </c>
      <c r="AC71" s="21">
        <v>1023000</v>
      </c>
      <c r="AD71" s="21">
        <v>1471000</v>
      </c>
      <c r="AE71" s="21">
        <v>490000</v>
      </c>
      <c r="AF71" s="21">
        <v>-69000</v>
      </c>
      <c r="AG71" s="21">
        <v>5396000</v>
      </c>
      <c r="AH71" s="21">
        <v>4159000</v>
      </c>
      <c r="AI71" s="22">
        <v>1919000</v>
      </c>
      <c r="AJ71" s="21">
        <v>1200000</v>
      </c>
      <c r="AK71" s="21"/>
    </row>
    <row r="72" spans="1:37" x14ac:dyDescent="0.25">
      <c r="A72" s="5" t="s">
        <v>107</v>
      </c>
      <c r="B72" s="21">
        <v>475000</v>
      </c>
      <c r="C72" s="21">
        <v>-215000</v>
      </c>
      <c r="D72" s="21">
        <v>-231000</v>
      </c>
      <c r="E72" s="21">
        <v>-107000</v>
      </c>
      <c r="F72" s="21">
        <v>324000</v>
      </c>
      <c r="G72" s="21">
        <v>497000</v>
      </c>
      <c r="H72" s="21">
        <v>346000</v>
      </c>
      <c r="I72" s="21">
        <v>646000</v>
      </c>
      <c r="J72" s="21">
        <v>480000</v>
      </c>
      <c r="K72" s="21">
        <v>216000</v>
      </c>
      <c r="L72" s="21">
        <v>62000</v>
      </c>
      <c r="M72" s="21">
        <v>-491000</v>
      </c>
      <c r="N72" s="21">
        <v>23000</v>
      </c>
      <c r="O72" s="21">
        <v>-110000</v>
      </c>
      <c r="P72" s="21">
        <v>1521000</v>
      </c>
      <c r="Q72" s="21">
        <v>1408000</v>
      </c>
      <c r="R72" s="21">
        <v>1748000</v>
      </c>
      <c r="S72" s="21">
        <v>1229000</v>
      </c>
      <c r="T72" s="21">
        <v>2823000</v>
      </c>
      <c r="U72" s="21">
        <v>-1681000</v>
      </c>
      <c r="V72" s="21">
        <v>-129000</v>
      </c>
      <c r="W72" s="21">
        <v>166000</v>
      </c>
      <c r="X72" s="21">
        <v>410000</v>
      </c>
      <c r="Y72" s="21">
        <v>121000</v>
      </c>
      <c r="Z72" s="21">
        <v>909000</v>
      </c>
      <c r="AA72" s="21">
        <v>-528000</v>
      </c>
      <c r="AB72" s="21">
        <v>-122000</v>
      </c>
      <c r="AC72" s="21">
        <v>522000</v>
      </c>
      <c r="AD72" s="21">
        <v>950000</v>
      </c>
      <c r="AE72" s="21">
        <v>-126000</v>
      </c>
      <c r="AF72" s="21">
        <v>-712000</v>
      </c>
      <c r="AG72" s="21">
        <v>4605000</v>
      </c>
      <c r="AH72" s="21">
        <v>3368000</v>
      </c>
      <c r="AI72" s="22">
        <v>1045000</v>
      </c>
      <c r="AJ72" s="21">
        <v>307000</v>
      </c>
      <c r="AK72" s="21"/>
    </row>
    <row r="73" spans="1:37" x14ac:dyDescent="0.25">
      <c r="A73" s="5" t="s">
        <v>108</v>
      </c>
      <c r="B73" s="21">
        <v>475000</v>
      </c>
      <c r="C73" s="21">
        <v>-215000</v>
      </c>
      <c r="D73" s="21">
        <v>-231000</v>
      </c>
      <c r="E73" s="21">
        <v>-107000</v>
      </c>
      <c r="F73" s="21">
        <v>324000</v>
      </c>
      <c r="G73" s="21">
        <v>497000</v>
      </c>
      <c r="H73" s="21">
        <v>346000</v>
      </c>
      <c r="I73" s="21">
        <v>646000</v>
      </c>
      <c r="J73" s="21">
        <v>480000</v>
      </c>
      <c r="K73" s="21">
        <v>216000</v>
      </c>
      <c r="L73" s="21">
        <v>62000</v>
      </c>
      <c r="M73" s="21">
        <v>-491000</v>
      </c>
      <c r="N73" s="21">
        <v>23000</v>
      </c>
      <c r="O73" s="21">
        <v>-110000</v>
      </c>
      <c r="P73" s="21">
        <v>1521000</v>
      </c>
      <c r="Q73" s="21">
        <v>1408000</v>
      </c>
      <c r="R73" s="21">
        <v>1748000</v>
      </c>
      <c r="S73" s="21">
        <v>1221000</v>
      </c>
      <c r="T73" s="21">
        <v>2809000</v>
      </c>
      <c r="U73" s="21">
        <v>-1693000</v>
      </c>
      <c r="V73" s="21">
        <v>-138000</v>
      </c>
      <c r="W73" s="21">
        <v>155000</v>
      </c>
      <c r="X73" s="21">
        <v>399000</v>
      </c>
      <c r="Y73" s="21">
        <v>114000</v>
      </c>
      <c r="Z73" s="21">
        <v>909000</v>
      </c>
      <c r="AA73" s="21">
        <v>-528000</v>
      </c>
      <c r="AB73" s="21">
        <v>-122000</v>
      </c>
      <c r="AC73" s="21">
        <v>522000</v>
      </c>
      <c r="AD73" s="21">
        <v>950000</v>
      </c>
      <c r="AE73" s="21">
        <v>-126000</v>
      </c>
      <c r="AF73" s="21">
        <v>-712000</v>
      </c>
      <c r="AG73" s="21">
        <v>4605000</v>
      </c>
      <c r="AH73" s="21">
        <v>3368000</v>
      </c>
      <c r="AI73" s="22">
        <v>1003000</v>
      </c>
      <c r="AJ73" s="21">
        <v>287000</v>
      </c>
      <c r="AK73" s="21"/>
    </row>
    <row r="74" spans="1:37" x14ac:dyDescent="0.25">
      <c r="A74" s="5" t="s">
        <v>109</v>
      </c>
      <c r="B74" s="14">
        <v>0</v>
      </c>
      <c r="C74" s="21">
        <v>185000</v>
      </c>
      <c r="D74" s="21">
        <v>201000</v>
      </c>
      <c r="E74" s="21">
        <v>351000</v>
      </c>
      <c r="F74" s="21">
        <v>778000</v>
      </c>
      <c r="G74" s="21">
        <v>942000</v>
      </c>
      <c r="H74" s="21">
        <v>772000</v>
      </c>
      <c r="I74" s="21">
        <v>1087000</v>
      </c>
      <c r="J74" s="21">
        <v>906000</v>
      </c>
      <c r="K74" s="21">
        <v>656000</v>
      </c>
      <c r="L74" s="21">
        <v>565000</v>
      </c>
      <c r="M74" s="21">
        <v>-13000</v>
      </c>
      <c r="N74" s="21">
        <v>476000</v>
      </c>
      <c r="O74" s="21">
        <v>391000</v>
      </c>
      <c r="P74" s="21">
        <v>2056000</v>
      </c>
      <c r="Q74" s="21">
        <v>1911000</v>
      </c>
      <c r="R74" s="21">
        <v>2318000</v>
      </c>
      <c r="S74" s="21">
        <v>1824000</v>
      </c>
      <c r="T74" s="21">
        <v>3516000</v>
      </c>
      <c r="U74" s="21">
        <v>-954000</v>
      </c>
      <c r="V74" s="21">
        <v>618000</v>
      </c>
      <c r="W74" s="21">
        <v>942000</v>
      </c>
      <c r="X74" s="21">
        <v>1163000</v>
      </c>
      <c r="Y74" s="21">
        <v>920000</v>
      </c>
      <c r="Z74" s="21">
        <v>1659000</v>
      </c>
      <c r="AA74" s="21">
        <v>147000</v>
      </c>
      <c r="AB74" s="21">
        <v>508000</v>
      </c>
      <c r="AC74" s="14">
        <v>0</v>
      </c>
      <c r="AD74" s="14">
        <v>0</v>
      </c>
      <c r="AE74" s="21">
        <v>582000</v>
      </c>
      <c r="AF74" s="21">
        <v>12000</v>
      </c>
      <c r="AG74" s="21">
        <v>5479000</v>
      </c>
      <c r="AH74" s="21">
        <v>4238000</v>
      </c>
      <c r="AI74" s="22">
        <v>1988000</v>
      </c>
      <c r="AJ74" s="21">
        <v>1262000</v>
      </c>
      <c r="AK74" s="21"/>
    </row>
    <row r="75" spans="1:37" x14ac:dyDescent="0.25">
      <c r="A75" s="5" t="s">
        <v>110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21">
        <v>6557000</v>
      </c>
      <c r="H75" s="21">
        <v>6670000</v>
      </c>
      <c r="I75" s="21">
        <v>6941000</v>
      </c>
      <c r="J75" s="21">
        <v>6477000</v>
      </c>
      <c r="K75" s="21">
        <v>5470000</v>
      </c>
      <c r="L75" s="21">
        <v>6132000</v>
      </c>
      <c r="M75" s="21">
        <v>6375000</v>
      </c>
      <c r="N75" s="21">
        <v>7054000</v>
      </c>
      <c r="O75" s="21">
        <v>9328000</v>
      </c>
      <c r="P75" s="21">
        <v>13975000</v>
      </c>
      <c r="Q75" s="21">
        <v>14039000</v>
      </c>
      <c r="R75" s="21">
        <v>15715000</v>
      </c>
      <c r="S75" s="21">
        <v>16873000</v>
      </c>
      <c r="T75" s="21">
        <v>23754000</v>
      </c>
      <c r="U75" s="21">
        <v>11048000</v>
      </c>
      <c r="V75" s="21">
        <v>17374000</v>
      </c>
      <c r="W75" s="21">
        <v>19884000</v>
      </c>
      <c r="X75" s="21">
        <v>19328000</v>
      </c>
      <c r="Y75" s="21">
        <v>17424000</v>
      </c>
      <c r="Z75" s="21">
        <v>17507000</v>
      </c>
      <c r="AA75" s="21">
        <v>11574000</v>
      </c>
      <c r="AB75" s="21">
        <v>10261000</v>
      </c>
      <c r="AC75" s="21">
        <v>12250000</v>
      </c>
      <c r="AD75" s="21">
        <v>14178000</v>
      </c>
      <c r="AE75" s="21">
        <v>12937000</v>
      </c>
      <c r="AF75" s="21">
        <v>9741000</v>
      </c>
      <c r="AG75" s="21">
        <v>20275000</v>
      </c>
      <c r="AH75" s="21">
        <v>21065000</v>
      </c>
      <c r="AI75" s="22">
        <v>18053000</v>
      </c>
      <c r="AJ75" s="21">
        <v>15640000</v>
      </c>
      <c r="AK75" s="21"/>
    </row>
    <row r="76" spans="1:37" x14ac:dyDescent="0.25">
      <c r="A76" s="5" t="s">
        <v>111</v>
      </c>
      <c r="B76" s="28">
        <v>29.062000000000001</v>
      </c>
      <c r="C76" s="28">
        <v>32.936999999999998</v>
      </c>
      <c r="D76" s="28">
        <v>31.218</v>
      </c>
      <c r="E76" s="28">
        <v>19.524000000000001</v>
      </c>
      <c r="F76" s="28">
        <v>18.952000000000002</v>
      </c>
      <c r="G76" s="28">
        <v>33.113</v>
      </c>
      <c r="H76" s="28">
        <v>25.068000000000001</v>
      </c>
      <c r="I76" s="28">
        <v>34.110999999999997</v>
      </c>
      <c r="J76" s="28">
        <v>32.216000000000001</v>
      </c>
      <c r="K76" s="28">
        <v>32.895000000000003</v>
      </c>
      <c r="L76" s="14" t="s">
        <v>103</v>
      </c>
      <c r="M76" s="28">
        <v>60.073</v>
      </c>
      <c r="N76" s="14" t="s">
        <v>103</v>
      </c>
      <c r="O76" s="28">
        <v>55.46</v>
      </c>
      <c r="P76" s="28">
        <v>23.576000000000001</v>
      </c>
      <c r="Q76" s="28">
        <v>27.82</v>
      </c>
      <c r="R76" s="28">
        <v>18.803999999999998</v>
      </c>
      <c r="S76" s="28">
        <v>19.675000000000001</v>
      </c>
      <c r="T76" s="28">
        <v>28.367000000000001</v>
      </c>
      <c r="U76" s="28">
        <v>23.794</v>
      </c>
      <c r="V76" s="14" t="s">
        <v>103</v>
      </c>
      <c r="W76" s="28">
        <v>296.29599999999999</v>
      </c>
      <c r="X76" s="28">
        <v>2183.3330000000001</v>
      </c>
      <c r="Y76" s="28">
        <v>26.298999999999999</v>
      </c>
      <c r="Z76" s="28">
        <v>40</v>
      </c>
      <c r="AA76" s="14" t="s">
        <v>103</v>
      </c>
      <c r="AB76" s="14" t="s">
        <v>103</v>
      </c>
      <c r="AC76" s="14" t="s">
        <v>103</v>
      </c>
      <c r="AD76" s="14" t="s">
        <v>103</v>
      </c>
      <c r="AE76" s="14" t="s">
        <v>103</v>
      </c>
      <c r="AF76" s="28">
        <v>10.865</v>
      </c>
      <c r="AG76" s="28">
        <v>3.9129999999999998</v>
      </c>
      <c r="AH76" s="28">
        <v>22.553000000000001</v>
      </c>
      <c r="AI76" s="29">
        <v>14.518000000000001</v>
      </c>
      <c r="AJ76" s="28">
        <v>12.329000000000001</v>
      </c>
      <c r="AK76" s="28"/>
    </row>
    <row r="77" spans="1:37" x14ac:dyDescent="0.25">
      <c r="A77" s="5" t="s">
        <v>112</v>
      </c>
      <c r="B77" s="14">
        <v>0</v>
      </c>
      <c r="C77" s="21">
        <v>-113000</v>
      </c>
      <c r="D77" s="21">
        <v>-28000</v>
      </c>
      <c r="E77" s="21">
        <v>-3000</v>
      </c>
      <c r="F77" s="21">
        <v>-46000</v>
      </c>
      <c r="G77" s="21">
        <v>17000</v>
      </c>
      <c r="H77" s="21">
        <v>-51000</v>
      </c>
      <c r="I77" s="21">
        <v>41000</v>
      </c>
      <c r="J77" s="21">
        <v>22000</v>
      </c>
      <c r="K77" s="21">
        <v>-83000</v>
      </c>
      <c r="L77" s="21">
        <v>-369000</v>
      </c>
      <c r="M77" s="21">
        <v>-349000</v>
      </c>
      <c r="N77" s="21">
        <v>-12000</v>
      </c>
      <c r="O77" s="21">
        <v>-11000</v>
      </c>
      <c r="P77" s="21">
        <v>-29000</v>
      </c>
      <c r="Q77" s="21">
        <v>283000</v>
      </c>
      <c r="R77" s="21">
        <v>186000</v>
      </c>
      <c r="S77" s="21">
        <v>-26000</v>
      </c>
      <c r="T77" s="21">
        <v>447000</v>
      </c>
      <c r="U77" s="21">
        <v>-285000</v>
      </c>
      <c r="V77" s="21">
        <v>-109000</v>
      </c>
      <c r="W77" s="21">
        <v>146000</v>
      </c>
      <c r="X77" s="21">
        <v>53000</v>
      </c>
      <c r="Y77" s="21">
        <v>-202000</v>
      </c>
      <c r="Z77" s="21">
        <v>-9000</v>
      </c>
      <c r="AA77" s="21">
        <v>-34000</v>
      </c>
      <c r="AB77" s="21">
        <v>-17000</v>
      </c>
      <c r="AC77" s="21">
        <v>-67000</v>
      </c>
      <c r="AD77" s="21">
        <v>-38000</v>
      </c>
      <c r="AE77" s="21">
        <v>-18000</v>
      </c>
      <c r="AF77" s="21">
        <v>-13000</v>
      </c>
      <c r="AG77" s="21">
        <v>43000</v>
      </c>
      <c r="AH77" s="21">
        <v>155000</v>
      </c>
      <c r="AI77" s="22">
        <v>53000</v>
      </c>
      <c r="AJ77" s="21">
        <v>-59000</v>
      </c>
      <c r="AK77" s="21"/>
    </row>
    <row r="78" spans="1:37" x14ac:dyDescent="0.25">
      <c r="A78" s="5" t="s">
        <v>113</v>
      </c>
      <c r="B78" s="14">
        <v>0</v>
      </c>
      <c r="C78" s="21">
        <v>3000</v>
      </c>
      <c r="D78" s="21">
        <v>2000</v>
      </c>
      <c r="E78" s="14">
        <v>0</v>
      </c>
      <c r="F78" s="14">
        <v>0</v>
      </c>
      <c r="G78" s="14">
        <v>0</v>
      </c>
      <c r="H78" s="21">
        <v>-7000</v>
      </c>
      <c r="I78" s="14">
        <v>0</v>
      </c>
      <c r="J78" s="21">
        <v>-7000</v>
      </c>
      <c r="K78" s="21">
        <v>1000</v>
      </c>
      <c r="L78" s="14">
        <v>0</v>
      </c>
      <c r="M78" s="21">
        <v>3000</v>
      </c>
      <c r="N78" s="21">
        <v>3000</v>
      </c>
      <c r="O78" s="21">
        <v>2000</v>
      </c>
      <c r="P78" s="21">
        <v>25000</v>
      </c>
      <c r="Q78" s="21">
        <v>39000</v>
      </c>
      <c r="R78" s="21">
        <v>58000</v>
      </c>
      <c r="S78" s="21">
        <v>62000</v>
      </c>
      <c r="T78" s="21">
        <v>40000</v>
      </c>
      <c r="U78" s="21">
        <v>2000</v>
      </c>
      <c r="V78" s="14">
        <v>0</v>
      </c>
      <c r="W78" s="21">
        <v>2000</v>
      </c>
      <c r="X78" s="21">
        <v>4000</v>
      </c>
      <c r="Y78" s="21">
        <v>1000</v>
      </c>
      <c r="Z78" s="21">
        <v>1000</v>
      </c>
      <c r="AA78" s="21">
        <v>4000</v>
      </c>
      <c r="AB78" s="21">
        <v>32000</v>
      </c>
      <c r="AC78" s="21">
        <v>53000</v>
      </c>
      <c r="AD78" s="21">
        <v>64000</v>
      </c>
      <c r="AE78" s="21">
        <v>-6000</v>
      </c>
      <c r="AF78" s="21">
        <v>1000</v>
      </c>
      <c r="AG78" s="21">
        <v>179000</v>
      </c>
      <c r="AH78" s="21">
        <v>79000</v>
      </c>
      <c r="AI78" s="22">
        <v>2000</v>
      </c>
      <c r="AJ78" s="14">
        <v>0</v>
      </c>
      <c r="AK78" s="14"/>
    </row>
    <row r="79" spans="1:37" x14ac:dyDescent="0.25">
      <c r="A79" s="5" t="s">
        <v>114</v>
      </c>
      <c r="B79" s="14">
        <v>0</v>
      </c>
      <c r="C79" s="21">
        <v>-110000</v>
      </c>
      <c r="D79" s="21">
        <v>-26000</v>
      </c>
      <c r="E79" s="21">
        <v>-3000</v>
      </c>
      <c r="F79" s="21">
        <v>-46000</v>
      </c>
      <c r="G79" s="21">
        <v>17000</v>
      </c>
      <c r="H79" s="21">
        <v>-58000</v>
      </c>
      <c r="I79" s="21">
        <v>41000</v>
      </c>
      <c r="J79" s="21">
        <v>15000</v>
      </c>
      <c r="K79" s="21">
        <v>-82000</v>
      </c>
      <c r="L79" s="21">
        <v>-369000</v>
      </c>
      <c r="M79" s="21">
        <v>-346000</v>
      </c>
      <c r="N79" s="21">
        <v>-9000</v>
      </c>
      <c r="O79" s="21">
        <v>-9000</v>
      </c>
      <c r="P79" s="21">
        <v>-4000</v>
      </c>
      <c r="Q79" s="21">
        <v>322000</v>
      </c>
      <c r="R79" s="21">
        <v>244000</v>
      </c>
      <c r="S79" s="21">
        <v>36000</v>
      </c>
      <c r="T79" s="21">
        <v>487000</v>
      </c>
      <c r="U79" s="21">
        <v>-283000</v>
      </c>
      <c r="V79" s="21">
        <v>-109000</v>
      </c>
      <c r="W79" s="21">
        <v>148000</v>
      </c>
      <c r="X79" s="21">
        <v>57000</v>
      </c>
      <c r="Y79" s="21">
        <v>-201000</v>
      </c>
      <c r="Z79" s="21">
        <v>-8000</v>
      </c>
      <c r="AA79" s="21">
        <v>-30000</v>
      </c>
      <c r="AB79" s="21">
        <v>15000</v>
      </c>
      <c r="AC79" s="21">
        <v>-14000</v>
      </c>
      <c r="AD79" s="21">
        <v>26000</v>
      </c>
      <c r="AE79" s="21">
        <v>-24000</v>
      </c>
      <c r="AF79" s="21">
        <v>-12000</v>
      </c>
      <c r="AG79" s="21">
        <v>222000</v>
      </c>
      <c r="AH79" s="21">
        <v>234000</v>
      </c>
      <c r="AI79" s="22">
        <v>55000</v>
      </c>
      <c r="AJ79" s="21">
        <v>-59000</v>
      </c>
      <c r="AK79" s="21"/>
    </row>
    <row r="80" spans="1:37" x14ac:dyDescent="0.25">
      <c r="A80" s="5" t="s">
        <v>115</v>
      </c>
      <c r="B80" s="14">
        <v>0</v>
      </c>
      <c r="C80" s="21">
        <v>-139000</v>
      </c>
      <c r="D80" s="21">
        <v>-97000</v>
      </c>
      <c r="E80" s="21">
        <v>-38000</v>
      </c>
      <c r="F80" s="21">
        <v>93000</v>
      </c>
      <c r="G80" s="21">
        <v>133000</v>
      </c>
      <c r="H80" s="21">
        <v>150000</v>
      </c>
      <c r="I80" s="21">
        <v>193000</v>
      </c>
      <c r="J80" s="21">
        <v>158000</v>
      </c>
      <c r="K80" s="21">
        <v>107000</v>
      </c>
      <c r="L80" s="21">
        <v>389000</v>
      </c>
      <c r="M80" s="21">
        <v>25000</v>
      </c>
      <c r="N80" s="21">
        <v>-34000</v>
      </c>
      <c r="O80" s="21">
        <v>-432000</v>
      </c>
      <c r="P80" s="21">
        <v>382000</v>
      </c>
      <c r="Q80" s="21">
        <v>25000</v>
      </c>
      <c r="R80" s="21">
        <v>84000</v>
      </c>
      <c r="S80" s="21">
        <v>184000</v>
      </c>
      <c r="T80" s="21">
        <v>282000</v>
      </c>
      <c r="U80" s="21">
        <v>-156000</v>
      </c>
      <c r="V80" s="21">
        <v>185000</v>
      </c>
      <c r="W80" s="21">
        <v>-77000</v>
      </c>
      <c r="X80" s="21">
        <v>84000</v>
      </c>
      <c r="Y80" s="21">
        <v>-244000</v>
      </c>
      <c r="Z80" s="21">
        <v>51000</v>
      </c>
      <c r="AA80" s="21">
        <v>201000</v>
      </c>
      <c r="AB80" s="14">
        <v>0</v>
      </c>
      <c r="AC80" s="21">
        <v>-81000</v>
      </c>
      <c r="AD80" s="21">
        <v>-341000</v>
      </c>
      <c r="AE80" s="21">
        <v>219000</v>
      </c>
      <c r="AF80" s="21">
        <v>-119000</v>
      </c>
      <c r="AG80" s="21">
        <v>-63000</v>
      </c>
      <c r="AH80" s="21">
        <v>494000</v>
      </c>
      <c r="AI80" s="22">
        <v>102000</v>
      </c>
      <c r="AJ80" s="21">
        <v>84000</v>
      </c>
      <c r="AK80" s="21"/>
    </row>
    <row r="81" spans="1:37" x14ac:dyDescent="0.25">
      <c r="A81" s="5" t="s">
        <v>116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21">
        <v>-7000</v>
      </c>
      <c r="N81" s="21">
        <v>-5000</v>
      </c>
      <c r="O81" s="21">
        <v>-11000</v>
      </c>
      <c r="P81" s="21">
        <v>-22000</v>
      </c>
      <c r="Q81" s="21">
        <v>18000</v>
      </c>
      <c r="R81" s="21">
        <v>-4000</v>
      </c>
      <c r="S81" s="21">
        <v>-2000</v>
      </c>
      <c r="T81" s="21">
        <v>84000</v>
      </c>
      <c r="U81" s="14">
        <v>0</v>
      </c>
      <c r="V81" s="21">
        <v>21000</v>
      </c>
      <c r="W81" s="21">
        <v>9000</v>
      </c>
      <c r="X81" s="21">
        <v>-10000</v>
      </c>
      <c r="Y81" s="21">
        <v>-142000</v>
      </c>
      <c r="Z81" s="21">
        <v>25000</v>
      </c>
      <c r="AA81" s="21">
        <v>12000</v>
      </c>
      <c r="AB81" s="21">
        <v>9000</v>
      </c>
      <c r="AC81" s="21">
        <v>9000</v>
      </c>
      <c r="AD81" s="21">
        <v>12000</v>
      </c>
      <c r="AE81" s="21">
        <v>-17000</v>
      </c>
      <c r="AF81" s="21">
        <v>-11000</v>
      </c>
      <c r="AG81" s="21">
        <v>11000</v>
      </c>
      <c r="AH81" s="21">
        <v>7000</v>
      </c>
      <c r="AI81" s="22">
        <v>-5000</v>
      </c>
      <c r="AJ81" s="21">
        <v>29000</v>
      </c>
      <c r="AK81" s="21"/>
    </row>
    <row r="82" spans="1:37" x14ac:dyDescent="0.25">
      <c r="A82" s="5" t="s">
        <v>117</v>
      </c>
      <c r="B82" s="14">
        <v>0</v>
      </c>
      <c r="C82" s="21">
        <v>-139000</v>
      </c>
      <c r="D82" s="21">
        <v>-97000</v>
      </c>
      <c r="E82" s="21">
        <v>-38000</v>
      </c>
      <c r="F82" s="21">
        <v>93000</v>
      </c>
      <c r="G82" s="21">
        <v>133000</v>
      </c>
      <c r="H82" s="21">
        <v>150000</v>
      </c>
      <c r="I82" s="21">
        <v>193000</v>
      </c>
      <c r="J82" s="21">
        <v>158000</v>
      </c>
      <c r="K82" s="21">
        <v>107000</v>
      </c>
      <c r="L82" s="21">
        <v>389000</v>
      </c>
      <c r="M82" s="21">
        <v>18000</v>
      </c>
      <c r="N82" s="21">
        <v>-39000</v>
      </c>
      <c r="O82" s="21">
        <v>-443000</v>
      </c>
      <c r="P82" s="21">
        <v>360000</v>
      </c>
      <c r="Q82" s="21">
        <v>43000</v>
      </c>
      <c r="R82" s="21">
        <v>80000</v>
      </c>
      <c r="S82" s="21">
        <v>182000</v>
      </c>
      <c r="T82" s="21">
        <v>366000</v>
      </c>
      <c r="U82" s="21">
        <v>-156000</v>
      </c>
      <c r="V82" s="21">
        <v>206000</v>
      </c>
      <c r="W82" s="21">
        <v>-68000</v>
      </c>
      <c r="X82" s="21">
        <v>74000</v>
      </c>
      <c r="Y82" s="21">
        <v>-386000</v>
      </c>
      <c r="Z82" s="21">
        <v>76000</v>
      </c>
      <c r="AA82" s="21">
        <v>213000</v>
      </c>
      <c r="AB82" s="21">
        <v>9000</v>
      </c>
      <c r="AC82" s="21">
        <v>-72000</v>
      </c>
      <c r="AD82" s="21">
        <v>-329000</v>
      </c>
      <c r="AE82" s="21">
        <v>202000</v>
      </c>
      <c r="AF82" s="21">
        <v>-130000</v>
      </c>
      <c r="AG82" s="21">
        <v>-52000</v>
      </c>
      <c r="AH82" s="21">
        <v>501000</v>
      </c>
      <c r="AI82" s="22">
        <v>97000</v>
      </c>
      <c r="AJ82" s="21">
        <v>113000</v>
      </c>
      <c r="AK82" s="21"/>
    </row>
    <row r="83" spans="1:37" x14ac:dyDescent="0.25">
      <c r="A83" s="5" t="s">
        <v>118</v>
      </c>
      <c r="B83" s="21">
        <v>273125</v>
      </c>
      <c r="C83" s="21">
        <v>-232500</v>
      </c>
      <c r="D83" s="21">
        <v>-254375</v>
      </c>
      <c r="E83" s="21">
        <v>-240000</v>
      </c>
      <c r="F83" s="21">
        <v>154375</v>
      </c>
      <c r="G83" s="21">
        <v>280000</v>
      </c>
      <c r="H83" s="21">
        <v>186250</v>
      </c>
      <c r="I83" s="21">
        <v>393125</v>
      </c>
      <c r="J83" s="21">
        <v>301875</v>
      </c>
      <c r="K83" s="21">
        <v>34375</v>
      </c>
      <c r="L83" s="21">
        <v>-29375</v>
      </c>
      <c r="M83" s="21">
        <v>-355000</v>
      </c>
      <c r="N83" s="21">
        <v>-10000</v>
      </c>
      <c r="O83" s="21">
        <v>-133750</v>
      </c>
      <c r="P83" s="21">
        <v>902000</v>
      </c>
      <c r="Q83" s="21">
        <v>782375</v>
      </c>
      <c r="R83" s="21">
        <v>1084375</v>
      </c>
      <c r="S83" s="21">
        <v>719000</v>
      </c>
      <c r="T83" s="21">
        <v>1733000</v>
      </c>
      <c r="U83" s="21">
        <v>-1153750</v>
      </c>
      <c r="V83" s="21">
        <v>-245000</v>
      </c>
      <c r="W83" s="21">
        <v>1250</v>
      </c>
      <c r="X83" s="21">
        <v>189750</v>
      </c>
      <c r="Y83" s="21">
        <v>-90000</v>
      </c>
      <c r="Z83" s="21">
        <v>505000</v>
      </c>
      <c r="AA83" s="21">
        <v>-444375</v>
      </c>
      <c r="AB83" s="21">
        <v>-158125</v>
      </c>
      <c r="AC83" s="21">
        <v>195625</v>
      </c>
      <c r="AD83" s="21">
        <v>541250</v>
      </c>
      <c r="AE83" s="21">
        <v>-111250</v>
      </c>
      <c r="AF83" s="21">
        <v>-605625</v>
      </c>
      <c r="AG83" s="21">
        <v>2762500</v>
      </c>
      <c r="AH83" s="21">
        <v>2165000</v>
      </c>
      <c r="AI83" s="22">
        <v>757500</v>
      </c>
      <c r="AJ83" s="21">
        <v>291875</v>
      </c>
      <c r="AK83" s="21"/>
    </row>
    <row r="84" spans="1:37" x14ac:dyDescent="0.25">
      <c r="A84" s="5" t="s">
        <v>119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21">
        <v>33000</v>
      </c>
      <c r="L84" s="21">
        <v>-23000</v>
      </c>
      <c r="M84" s="21">
        <v>-221000</v>
      </c>
      <c r="N84" s="21">
        <v>60000</v>
      </c>
      <c r="O84" s="21">
        <v>-437000</v>
      </c>
      <c r="P84" s="21">
        <v>1111000</v>
      </c>
      <c r="Q84" s="21">
        <v>884000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5">
        <v>0</v>
      </c>
      <c r="AJ84" s="14">
        <v>0</v>
      </c>
      <c r="AK84" s="14"/>
    </row>
    <row r="85" spans="1:37" x14ac:dyDescent="0.25">
      <c r="A85" s="5" t="s">
        <v>120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21">
        <v>190000</v>
      </c>
      <c r="U85" s="21">
        <v>187000</v>
      </c>
      <c r="V85" s="14">
        <v>0</v>
      </c>
      <c r="W85" s="14">
        <v>0</v>
      </c>
      <c r="X85" s="21">
        <v>214000</v>
      </c>
      <c r="Y85" s="21">
        <v>340000</v>
      </c>
      <c r="Z85" s="21">
        <v>267000</v>
      </c>
      <c r="AA85" s="21">
        <v>251000</v>
      </c>
      <c r="AB85" s="21">
        <v>252000</v>
      </c>
      <c r="AC85" s="21">
        <v>248000</v>
      </c>
      <c r="AD85" s="21">
        <v>191000</v>
      </c>
      <c r="AE85" s="21">
        <v>175000</v>
      </c>
      <c r="AF85" s="21">
        <v>326000</v>
      </c>
      <c r="AG85" s="21">
        <v>366000</v>
      </c>
      <c r="AH85" s="21">
        <v>235000</v>
      </c>
      <c r="AI85" s="22">
        <v>252000</v>
      </c>
      <c r="AJ85" s="21">
        <v>253000</v>
      </c>
      <c r="AK85" s="21"/>
    </row>
    <row r="86" spans="1:37" x14ac:dyDescent="0.25">
      <c r="A86" s="5" t="s">
        <v>121</v>
      </c>
      <c r="B86" s="14">
        <v>0</v>
      </c>
      <c r="C86" s="21">
        <v>-252000</v>
      </c>
      <c r="D86" s="21">
        <v>-289000</v>
      </c>
      <c r="E86" s="21">
        <v>-260000</v>
      </c>
      <c r="F86" s="21">
        <v>-187000</v>
      </c>
      <c r="G86" s="21">
        <v>-191000</v>
      </c>
      <c r="H86" s="21">
        <v>-230000</v>
      </c>
      <c r="I86" s="21">
        <v>-216000</v>
      </c>
      <c r="J86" s="21">
        <v>-262000</v>
      </c>
      <c r="K86" s="21">
        <v>-321000</v>
      </c>
      <c r="L86" s="21">
        <v>-349000</v>
      </c>
      <c r="M86" s="14">
        <v>0</v>
      </c>
      <c r="N86" s="21">
        <v>-99000</v>
      </c>
      <c r="O86" s="21">
        <v>453000</v>
      </c>
      <c r="P86" s="21">
        <v>160000</v>
      </c>
      <c r="Q86" s="21">
        <v>185000</v>
      </c>
      <c r="R86" s="21">
        <v>104000</v>
      </c>
      <c r="S86" s="21">
        <v>27000</v>
      </c>
      <c r="T86" s="21">
        <v>-39000</v>
      </c>
      <c r="U86" s="21">
        <v>165000</v>
      </c>
      <c r="V86" s="21">
        <v>175000</v>
      </c>
      <c r="W86" s="21">
        <v>332000</v>
      </c>
      <c r="X86" s="21">
        <v>294000</v>
      </c>
      <c r="Y86" s="21">
        <v>268000</v>
      </c>
      <c r="Z86" s="21">
        <v>231000</v>
      </c>
      <c r="AA86" s="21">
        <v>189000</v>
      </c>
      <c r="AB86" s="21">
        <v>52000</v>
      </c>
      <c r="AC86" s="21">
        <v>59000</v>
      </c>
      <c r="AD86" s="21">
        <v>94000</v>
      </c>
      <c r="AE86" s="21">
        <v>135000</v>
      </c>
      <c r="AF86" s="21">
        <v>94000</v>
      </c>
      <c r="AG86" s="21">
        <v>146000</v>
      </c>
      <c r="AH86" s="21">
        <v>-39000</v>
      </c>
      <c r="AI86" s="22">
        <v>18000</v>
      </c>
      <c r="AJ86" s="21">
        <v>53000</v>
      </c>
      <c r="AK86" s="21"/>
    </row>
    <row r="87" spans="1:37" x14ac:dyDescent="0.25">
      <c r="A87" s="20" t="s">
        <v>122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4"/>
      <c r="AK87" s="14"/>
    </row>
    <row r="88" spans="1:37" x14ac:dyDescent="0.25">
      <c r="A88" s="5" t="s">
        <v>123</v>
      </c>
      <c r="B88" s="14">
        <v>0</v>
      </c>
      <c r="C88" s="21">
        <v>22000</v>
      </c>
      <c r="D88" s="21">
        <v>23000</v>
      </c>
      <c r="E88" s="21">
        <v>22000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5">
        <v>0</v>
      </c>
      <c r="AJ88" s="14">
        <v>0</v>
      </c>
      <c r="AK88" s="14"/>
    </row>
    <row r="89" spans="1:37" x14ac:dyDescent="0.25">
      <c r="A89" s="5" t="s">
        <v>124</v>
      </c>
      <c r="B89" s="14">
        <v>0</v>
      </c>
      <c r="C89" s="21">
        <v>147000</v>
      </c>
      <c r="D89" s="21">
        <v>144000</v>
      </c>
      <c r="E89" s="21">
        <v>144000</v>
      </c>
      <c r="F89" s="21">
        <v>140000</v>
      </c>
      <c r="G89" s="21">
        <v>127000</v>
      </c>
      <c r="H89" s="21">
        <v>134000</v>
      </c>
      <c r="I89" s="21">
        <v>138000</v>
      </c>
      <c r="J89" s="21">
        <v>143000</v>
      </c>
      <c r="K89" s="21">
        <v>136000</v>
      </c>
      <c r="L89" s="21">
        <v>143000</v>
      </c>
      <c r="M89" s="21">
        <v>134000</v>
      </c>
      <c r="N89" s="21">
        <v>103000</v>
      </c>
      <c r="O89" s="21">
        <v>138000</v>
      </c>
      <c r="P89" s="21">
        <v>153000</v>
      </c>
      <c r="Q89" s="21">
        <v>137000</v>
      </c>
      <c r="R89" s="21">
        <v>134000</v>
      </c>
      <c r="S89" s="21">
        <v>97000</v>
      </c>
      <c r="T89" s="21">
        <v>102000</v>
      </c>
      <c r="U89" s="21">
        <v>78000</v>
      </c>
      <c r="V89" s="21">
        <v>98000</v>
      </c>
      <c r="W89" s="21">
        <v>106000</v>
      </c>
      <c r="X89" s="21">
        <v>103000</v>
      </c>
      <c r="Y89" s="21">
        <v>122000</v>
      </c>
      <c r="Z89" s="21">
        <v>123000</v>
      </c>
      <c r="AA89" s="21">
        <v>128000</v>
      </c>
      <c r="AB89" s="21">
        <v>123000</v>
      </c>
      <c r="AC89" s="14">
        <v>0</v>
      </c>
      <c r="AD89" s="14">
        <v>0</v>
      </c>
      <c r="AE89" s="21">
        <v>92000</v>
      </c>
      <c r="AF89" s="21">
        <v>81000</v>
      </c>
      <c r="AG89" s="21">
        <v>83000</v>
      </c>
      <c r="AH89" s="21">
        <v>79000</v>
      </c>
      <c r="AI89" s="22">
        <v>69000</v>
      </c>
      <c r="AJ89" s="21">
        <v>62000</v>
      </c>
      <c r="AK89" s="21"/>
    </row>
    <row r="90" spans="1:37" x14ac:dyDescent="0.25">
      <c r="A90" s="5" t="s">
        <v>125</v>
      </c>
      <c r="B90" s="14">
        <v>0</v>
      </c>
      <c r="C90" s="14">
        <v>0</v>
      </c>
      <c r="D90" s="21">
        <v>99290.880000000005</v>
      </c>
      <c r="E90" s="21">
        <v>203011.20000000001</v>
      </c>
      <c r="F90" s="21">
        <v>118871.2</v>
      </c>
      <c r="G90" s="21">
        <v>116488.46400000001</v>
      </c>
      <c r="H90" s="21">
        <v>128901.568</v>
      </c>
      <c r="I90" s="21">
        <v>119548.848</v>
      </c>
      <c r="J90" s="21">
        <v>88126.895999999993</v>
      </c>
      <c r="K90" s="21">
        <v>99635.775999999998</v>
      </c>
      <c r="L90" s="21">
        <v>60792.160000000003</v>
      </c>
      <c r="M90" s="21">
        <v>105261.82399999999</v>
      </c>
      <c r="N90" s="21">
        <v>77285.432000000001</v>
      </c>
      <c r="O90" s="21">
        <v>105579.936</v>
      </c>
      <c r="P90" s="21">
        <v>122992.416</v>
      </c>
      <c r="Q90" s="21">
        <v>66869.152000000002</v>
      </c>
      <c r="R90" s="21">
        <v>96752.288</v>
      </c>
      <c r="S90" s="21">
        <v>57628.864000000001</v>
      </c>
      <c r="T90" s="21">
        <v>47924.495999999999</v>
      </c>
      <c r="U90" s="21">
        <v>35853.792000000001</v>
      </c>
      <c r="V90" s="21">
        <v>49931.392</v>
      </c>
      <c r="W90" s="21">
        <v>52194.400000000001</v>
      </c>
      <c r="X90" s="21">
        <v>54690.527999999998</v>
      </c>
      <c r="Y90" s="21">
        <v>75581.440000000002</v>
      </c>
      <c r="Z90" s="21">
        <v>68801.279999999999</v>
      </c>
      <c r="AA90" s="21">
        <v>73759.744000000006</v>
      </c>
      <c r="AB90" s="21">
        <v>77520.504000000001</v>
      </c>
      <c r="AC90" s="14">
        <v>0</v>
      </c>
      <c r="AD90" s="14">
        <v>0</v>
      </c>
      <c r="AE90" s="21">
        <v>39745.472000000002</v>
      </c>
      <c r="AF90" s="21">
        <v>46290.527999999998</v>
      </c>
      <c r="AG90" s="21">
        <v>51420.824000000001</v>
      </c>
      <c r="AH90" s="21">
        <v>34923.055999999997</v>
      </c>
      <c r="AI90" s="22">
        <v>31672.655999999999</v>
      </c>
      <c r="AJ90" s="21">
        <v>28405.423999999999</v>
      </c>
      <c r="AK90" s="21"/>
    </row>
    <row r="91" spans="1:37" x14ac:dyDescent="0.25">
      <c r="A91" s="5" t="s">
        <v>126</v>
      </c>
      <c r="B91" s="14">
        <v>0</v>
      </c>
      <c r="C91" s="14">
        <v>0</v>
      </c>
      <c r="D91" s="21">
        <v>44709.120000000003</v>
      </c>
      <c r="E91" s="21">
        <v>-59011.199999999997</v>
      </c>
      <c r="F91" s="21">
        <v>21128.799999999999</v>
      </c>
      <c r="G91" s="21">
        <v>10511.536</v>
      </c>
      <c r="H91" s="21">
        <v>5098.4319999999998</v>
      </c>
      <c r="I91" s="21">
        <v>18451.151999999998</v>
      </c>
      <c r="J91" s="21">
        <v>54873.103999999999</v>
      </c>
      <c r="K91" s="21">
        <v>36364.224000000002</v>
      </c>
      <c r="L91" s="21">
        <v>82207.839999999997</v>
      </c>
      <c r="M91" s="21">
        <v>28738.175999999999</v>
      </c>
      <c r="N91" s="21">
        <v>25714.567999999999</v>
      </c>
      <c r="O91" s="21">
        <v>32420.063999999998</v>
      </c>
      <c r="P91" s="21">
        <v>30007.583999999999</v>
      </c>
      <c r="Q91" s="21">
        <v>70130.847999999998</v>
      </c>
      <c r="R91" s="21">
        <v>37247.712</v>
      </c>
      <c r="S91" s="21">
        <v>39371.135999999999</v>
      </c>
      <c r="T91" s="21">
        <v>54075.504000000001</v>
      </c>
      <c r="U91" s="21">
        <v>42146.207999999999</v>
      </c>
      <c r="V91" s="21">
        <v>48068.608</v>
      </c>
      <c r="W91" s="21">
        <v>53805.599999999999</v>
      </c>
      <c r="X91" s="21">
        <v>48309.472000000002</v>
      </c>
      <c r="Y91" s="21">
        <v>46418.559999999998</v>
      </c>
      <c r="Z91" s="21">
        <v>54198.720000000001</v>
      </c>
      <c r="AA91" s="21">
        <v>54240.256000000001</v>
      </c>
      <c r="AB91" s="21">
        <v>45479.495999999999</v>
      </c>
      <c r="AC91" s="14">
        <v>0</v>
      </c>
      <c r="AD91" s="14">
        <v>0</v>
      </c>
      <c r="AE91" s="21">
        <v>52254.527999999998</v>
      </c>
      <c r="AF91" s="21">
        <v>34709.472000000002</v>
      </c>
      <c r="AG91" s="21">
        <v>31579.175999999999</v>
      </c>
      <c r="AH91" s="21">
        <v>44076.944000000003</v>
      </c>
      <c r="AI91" s="22">
        <v>37327.343999999997</v>
      </c>
      <c r="AJ91" s="21">
        <v>33594.576000000001</v>
      </c>
      <c r="AK91" s="21"/>
    </row>
    <row r="92" spans="1:37" x14ac:dyDescent="0.25">
      <c r="A92" s="5" t="s">
        <v>127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21">
        <v>5000</v>
      </c>
      <c r="S92" s="21">
        <v>7000</v>
      </c>
      <c r="T92" s="21">
        <v>11000</v>
      </c>
      <c r="U92" s="21">
        <v>10000</v>
      </c>
      <c r="V92" s="21">
        <v>9000</v>
      </c>
      <c r="W92" s="21">
        <v>10000</v>
      </c>
      <c r="X92" s="21">
        <v>12000</v>
      </c>
      <c r="Y92" s="21">
        <v>10000</v>
      </c>
      <c r="Z92" s="21">
        <v>12000</v>
      </c>
      <c r="AA92" s="21">
        <v>14000</v>
      </c>
      <c r="AB92" s="21">
        <v>9000</v>
      </c>
      <c r="AC92" s="21">
        <v>10000</v>
      </c>
      <c r="AD92" s="21">
        <v>11000</v>
      </c>
      <c r="AE92" s="21">
        <v>9000</v>
      </c>
      <c r="AF92" s="21">
        <v>8000</v>
      </c>
      <c r="AG92" s="21">
        <v>14000</v>
      </c>
      <c r="AH92" s="21">
        <v>15000</v>
      </c>
      <c r="AI92" s="22">
        <v>16000</v>
      </c>
      <c r="AJ92" s="21">
        <v>20000</v>
      </c>
      <c r="AK92" s="21"/>
    </row>
    <row r="93" spans="1:37" x14ac:dyDescent="0.25">
      <c r="A93" s="5" t="s">
        <v>128</v>
      </c>
      <c r="B93" s="14">
        <v>0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21">
        <v>6000</v>
      </c>
      <c r="N93" s="21">
        <v>4000</v>
      </c>
      <c r="O93" s="21">
        <v>84000</v>
      </c>
      <c r="P93" s="14">
        <v>0</v>
      </c>
      <c r="Q93" s="14">
        <v>0</v>
      </c>
      <c r="R93" s="21">
        <v>11000</v>
      </c>
      <c r="S93" s="21">
        <v>16000</v>
      </c>
      <c r="T93" s="21">
        <v>24000</v>
      </c>
      <c r="U93" s="21">
        <v>27000</v>
      </c>
      <c r="V93" s="21">
        <v>20000</v>
      </c>
      <c r="W93" s="21">
        <v>23000</v>
      </c>
      <c r="X93" s="21">
        <v>26000</v>
      </c>
      <c r="Y93" s="21">
        <v>23000</v>
      </c>
      <c r="Z93" s="21">
        <v>23000</v>
      </c>
      <c r="AA93" s="21">
        <v>23000</v>
      </c>
      <c r="AB93" s="21">
        <v>13000</v>
      </c>
      <c r="AC93" s="21">
        <v>17000</v>
      </c>
      <c r="AD93" s="21">
        <v>21000</v>
      </c>
      <c r="AE93" s="21">
        <v>17000</v>
      </c>
      <c r="AF93" s="21">
        <v>18000</v>
      </c>
      <c r="AG93" s="21">
        <v>41000</v>
      </c>
      <c r="AH93" s="21">
        <v>42000</v>
      </c>
      <c r="AI93" s="22">
        <v>35000</v>
      </c>
      <c r="AJ93" s="21">
        <v>32000</v>
      </c>
      <c r="AK93" s="21"/>
    </row>
    <row r="94" spans="1:37" x14ac:dyDescent="0.25">
      <c r="A94" s="5" t="s">
        <v>129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21">
        <v>2000</v>
      </c>
      <c r="I94" s="21">
        <v>8000</v>
      </c>
      <c r="J94" s="14">
        <v>0</v>
      </c>
      <c r="K94" s="21">
        <v>1000</v>
      </c>
      <c r="L94" s="21">
        <v>1000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5">
        <v>0</v>
      </c>
      <c r="AJ94" s="14">
        <v>0</v>
      </c>
      <c r="AK94" s="14"/>
    </row>
    <row r="95" spans="1:37" x14ac:dyDescent="0.25">
      <c r="A95" s="20" t="s">
        <v>130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30">
        <v>2000</v>
      </c>
      <c r="I95" s="30">
        <v>8000</v>
      </c>
      <c r="J95" s="9">
        <v>0</v>
      </c>
      <c r="K95" s="30">
        <v>1000</v>
      </c>
      <c r="L95" s="30">
        <v>1000</v>
      </c>
      <c r="M95" s="30">
        <v>6000</v>
      </c>
      <c r="N95" s="30">
        <v>4000</v>
      </c>
      <c r="O95" s="30">
        <v>84000</v>
      </c>
      <c r="P95" s="9">
        <v>0</v>
      </c>
      <c r="Q95" s="9">
        <v>0</v>
      </c>
      <c r="R95" s="30">
        <v>16000</v>
      </c>
      <c r="S95" s="30">
        <v>23000</v>
      </c>
      <c r="T95" s="30">
        <v>35000</v>
      </c>
      <c r="U95" s="30">
        <v>37000</v>
      </c>
      <c r="V95" s="30">
        <v>29000</v>
      </c>
      <c r="W95" s="30">
        <v>33000</v>
      </c>
      <c r="X95" s="30">
        <v>38000</v>
      </c>
      <c r="Y95" s="30">
        <v>33000</v>
      </c>
      <c r="Z95" s="30">
        <v>35000</v>
      </c>
      <c r="AA95" s="30">
        <v>37000</v>
      </c>
      <c r="AB95" s="30">
        <v>22000</v>
      </c>
      <c r="AC95" s="30">
        <v>27000</v>
      </c>
      <c r="AD95" s="30">
        <v>32000</v>
      </c>
      <c r="AE95" s="30">
        <v>26000</v>
      </c>
      <c r="AF95" s="30">
        <v>26000</v>
      </c>
      <c r="AG95" s="30">
        <v>55000</v>
      </c>
      <c r="AH95" s="30">
        <v>57000</v>
      </c>
      <c r="AI95" s="31">
        <v>51000</v>
      </c>
      <c r="AJ95" s="30">
        <v>52000</v>
      </c>
      <c r="AK95" s="30"/>
    </row>
    <row r="96" spans="1:37" x14ac:dyDescent="0.25">
      <c r="A96" s="5" t="s">
        <v>131</v>
      </c>
      <c r="B96" s="14" t="s">
        <v>132</v>
      </c>
      <c r="C96" s="14" t="s">
        <v>133</v>
      </c>
      <c r="D96" s="14" t="s">
        <v>133</v>
      </c>
      <c r="E96" s="14" t="s">
        <v>134</v>
      </c>
      <c r="F96" s="14" t="s">
        <v>134</v>
      </c>
      <c r="G96" s="14" t="s">
        <v>133</v>
      </c>
      <c r="H96" s="14" t="s">
        <v>134</v>
      </c>
      <c r="I96" s="14" t="s">
        <v>133</v>
      </c>
      <c r="J96" s="14" t="s">
        <v>134</v>
      </c>
      <c r="K96" s="14" t="s">
        <v>134</v>
      </c>
      <c r="L96" s="14" t="s">
        <v>135</v>
      </c>
      <c r="M96" s="14" t="s">
        <v>135</v>
      </c>
      <c r="N96" s="14" t="s">
        <v>133</v>
      </c>
      <c r="O96" s="14" t="s">
        <v>135</v>
      </c>
      <c r="P96" s="14" t="s">
        <v>135</v>
      </c>
      <c r="Q96" s="14" t="s">
        <v>134</v>
      </c>
      <c r="R96" s="14" t="s">
        <v>134</v>
      </c>
      <c r="S96" s="14" t="s">
        <v>133</v>
      </c>
      <c r="T96" s="14" t="s">
        <v>133</v>
      </c>
      <c r="U96" s="14" t="s">
        <v>134</v>
      </c>
      <c r="V96" s="14" t="s">
        <v>133</v>
      </c>
      <c r="W96" s="14" t="s">
        <v>133</v>
      </c>
      <c r="X96" s="14" t="s">
        <v>133</v>
      </c>
      <c r="Y96" s="14" t="s">
        <v>135</v>
      </c>
      <c r="Z96" s="14" t="s">
        <v>133</v>
      </c>
      <c r="AA96" s="14" t="s">
        <v>133</v>
      </c>
      <c r="AB96" s="14" t="s">
        <v>134</v>
      </c>
      <c r="AC96" s="14" t="s">
        <v>134</v>
      </c>
      <c r="AD96" s="14" t="s">
        <v>133</v>
      </c>
      <c r="AE96" s="14" t="s">
        <v>133</v>
      </c>
      <c r="AF96" s="14" t="s">
        <v>134</v>
      </c>
      <c r="AG96" s="14" t="s">
        <v>134</v>
      </c>
      <c r="AH96" s="14" t="s">
        <v>134</v>
      </c>
      <c r="AI96" s="15" t="s">
        <v>133</v>
      </c>
      <c r="AJ96" s="14" t="s">
        <v>132</v>
      </c>
      <c r="AK96" s="14"/>
    </row>
    <row r="97" spans="1:37" x14ac:dyDescent="0.25">
      <c r="A97" s="5" t="s">
        <v>136</v>
      </c>
      <c r="B97" s="14" t="s">
        <v>137</v>
      </c>
      <c r="C97" s="14" t="s">
        <v>137</v>
      </c>
      <c r="D97" s="14" t="s">
        <v>137</v>
      </c>
      <c r="E97" s="14" t="s">
        <v>137</v>
      </c>
      <c r="F97" s="14" t="s">
        <v>137</v>
      </c>
      <c r="G97" s="14" t="s">
        <v>137</v>
      </c>
      <c r="H97" s="14" t="s">
        <v>137</v>
      </c>
      <c r="I97" s="14" t="s">
        <v>137</v>
      </c>
      <c r="J97" s="14" t="s">
        <v>137</v>
      </c>
      <c r="K97" s="14" t="s">
        <v>137</v>
      </c>
      <c r="L97" s="14" t="s">
        <v>137</v>
      </c>
      <c r="M97" s="14" t="s">
        <v>137</v>
      </c>
      <c r="N97" s="14" t="s">
        <v>137</v>
      </c>
      <c r="O97" s="14" t="s">
        <v>137</v>
      </c>
      <c r="P97" s="14" t="s">
        <v>137</v>
      </c>
      <c r="Q97" s="14" t="s">
        <v>137</v>
      </c>
      <c r="R97" s="14" t="s">
        <v>137</v>
      </c>
      <c r="S97" s="14" t="s">
        <v>137</v>
      </c>
      <c r="T97" s="14" t="s">
        <v>137</v>
      </c>
      <c r="U97" s="14" t="s">
        <v>137</v>
      </c>
      <c r="V97" s="14" t="s">
        <v>137</v>
      </c>
      <c r="W97" s="14" t="s">
        <v>137</v>
      </c>
      <c r="X97" s="14" t="s">
        <v>137</v>
      </c>
      <c r="Y97" s="14" t="s">
        <v>137</v>
      </c>
      <c r="Z97" s="14" t="s">
        <v>137</v>
      </c>
      <c r="AA97" s="14" t="s">
        <v>137</v>
      </c>
      <c r="AB97" s="14" t="s">
        <v>137</v>
      </c>
      <c r="AC97" s="14" t="s">
        <v>137</v>
      </c>
      <c r="AD97" s="14" t="s">
        <v>137</v>
      </c>
      <c r="AE97" s="14" t="s">
        <v>137</v>
      </c>
      <c r="AF97" s="14" t="s">
        <v>137</v>
      </c>
      <c r="AG97" s="14" t="s">
        <v>137</v>
      </c>
      <c r="AH97" s="14" t="s">
        <v>137</v>
      </c>
      <c r="AI97" s="15" t="s">
        <v>137</v>
      </c>
      <c r="AJ97" s="14" t="s">
        <v>137</v>
      </c>
      <c r="AK97" s="14"/>
    </row>
    <row r="98" spans="1:37" x14ac:dyDescent="0.25">
      <c r="A98" s="20" t="s">
        <v>138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5"/>
      <c r="AJ98" s="14"/>
      <c r="AK98" s="14"/>
    </row>
    <row r="99" spans="1:37" x14ac:dyDescent="0.25">
      <c r="A99" s="5" t="s">
        <v>139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21">
        <v>1345595</v>
      </c>
      <c r="J99" s="21">
        <v>1633100</v>
      </c>
      <c r="K99" s="21">
        <v>1992570</v>
      </c>
      <c r="L99" s="21">
        <v>2626385</v>
      </c>
      <c r="M99" s="21">
        <v>3478500</v>
      </c>
      <c r="N99" s="21">
        <v>4478535</v>
      </c>
      <c r="O99" s="21">
        <v>6165270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5">
        <v>0</v>
      </c>
      <c r="AJ99" s="21">
        <v>760238</v>
      </c>
      <c r="AK99" s="21"/>
    </row>
    <row r="100" spans="1:37" x14ac:dyDescent="0.25">
      <c r="A100" s="5" t="s">
        <v>140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21">
        <v>457590</v>
      </c>
      <c r="J100" s="21">
        <v>611515</v>
      </c>
      <c r="K100" s="21">
        <v>656400</v>
      </c>
      <c r="L100" s="21">
        <v>915470</v>
      </c>
      <c r="M100" s="21">
        <v>1089555</v>
      </c>
      <c r="N100" s="21">
        <v>1825200</v>
      </c>
      <c r="O100" s="21">
        <v>2422000</v>
      </c>
      <c r="P100" s="14">
        <v>0</v>
      </c>
      <c r="Q100" s="14">
        <v>0</v>
      </c>
      <c r="R100" s="21">
        <v>344490</v>
      </c>
      <c r="S100" s="21">
        <v>234930</v>
      </c>
      <c r="T100" s="21">
        <v>281200</v>
      </c>
      <c r="U100" s="21">
        <v>1026580</v>
      </c>
      <c r="V100" s="14">
        <v>0</v>
      </c>
      <c r="W100" s="21">
        <v>707060</v>
      </c>
      <c r="X100" s="21">
        <v>1503880</v>
      </c>
      <c r="Y100" s="21">
        <v>1810470</v>
      </c>
      <c r="Z100" s="21">
        <v>1516440</v>
      </c>
      <c r="AA100" s="21">
        <v>1638540</v>
      </c>
      <c r="AB100" s="21">
        <v>1333210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5">
        <v>0</v>
      </c>
      <c r="AJ100" s="14">
        <v>0</v>
      </c>
      <c r="AK100" s="14"/>
    </row>
    <row r="101" spans="1:37" x14ac:dyDescent="0.25">
      <c r="A101" s="5" t="s">
        <v>141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21">
        <v>158265</v>
      </c>
      <c r="J101" s="21">
        <v>230805</v>
      </c>
      <c r="K101" s="21">
        <v>2580</v>
      </c>
      <c r="L101" s="21">
        <v>400</v>
      </c>
      <c r="M101" s="14">
        <v>0</v>
      </c>
      <c r="N101" s="14">
        <v>0</v>
      </c>
      <c r="O101" s="21">
        <v>902760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5">
        <v>0</v>
      </c>
      <c r="AJ101" s="21">
        <v>158908</v>
      </c>
      <c r="AK101" s="21"/>
    </row>
    <row r="102" spans="1:37" x14ac:dyDescent="0.25">
      <c r="A102" s="5" t="s">
        <v>142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21">
        <v>11820</v>
      </c>
      <c r="J102" s="21">
        <v>21240</v>
      </c>
      <c r="K102" s="21">
        <v>20005</v>
      </c>
      <c r="L102" s="21">
        <v>62955</v>
      </c>
      <c r="M102" s="21">
        <v>89520</v>
      </c>
      <c r="N102" s="21">
        <v>138465</v>
      </c>
      <c r="O102" s="21">
        <v>355080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5">
        <v>0</v>
      </c>
      <c r="AJ102" s="21">
        <v>13057</v>
      </c>
      <c r="AK102" s="21"/>
    </row>
    <row r="103" spans="1:37" x14ac:dyDescent="0.25">
      <c r="A103" s="5" t="s">
        <v>143</v>
      </c>
      <c r="B103" s="14">
        <v>0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21">
        <v>1633100</v>
      </c>
      <c r="J103" s="21">
        <v>1992570</v>
      </c>
      <c r="K103" s="21">
        <v>2626385</v>
      </c>
      <c r="L103" s="21">
        <v>3478500</v>
      </c>
      <c r="M103" s="21">
        <v>4478535</v>
      </c>
      <c r="N103" s="21">
        <v>6165270</v>
      </c>
      <c r="O103" s="21">
        <v>7329430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5">
        <v>0</v>
      </c>
      <c r="AJ103" s="21">
        <v>588273</v>
      </c>
      <c r="AK103" s="21"/>
    </row>
    <row r="104" spans="1:37" x14ac:dyDescent="0.25">
      <c r="A104" s="5" t="s">
        <v>144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28">
        <v>34.35</v>
      </c>
      <c r="J104" s="28">
        <v>35.5</v>
      </c>
      <c r="K104" s="28">
        <v>33.67</v>
      </c>
      <c r="L104" s="28">
        <v>30.78</v>
      </c>
      <c r="M104" s="28">
        <v>28.09</v>
      </c>
      <c r="N104" s="28">
        <v>25.84</v>
      </c>
      <c r="O104" s="28">
        <v>22.19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5">
        <v>0</v>
      </c>
      <c r="AJ104" s="28">
        <v>28.6</v>
      </c>
      <c r="AK104" s="28"/>
    </row>
    <row r="105" spans="1:37" x14ac:dyDescent="0.25">
      <c r="A105" s="5" t="s">
        <v>145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28">
        <v>32</v>
      </c>
      <c r="J105" s="28">
        <v>37.28</v>
      </c>
      <c r="K105" s="28">
        <v>28.22</v>
      </c>
      <c r="L105" s="28">
        <v>23</v>
      </c>
      <c r="M105" s="28">
        <v>19.89</v>
      </c>
      <c r="N105" s="28">
        <v>20.420000000000002</v>
      </c>
      <c r="O105" s="28">
        <v>14.38</v>
      </c>
      <c r="P105" s="14">
        <v>0</v>
      </c>
      <c r="Q105" s="14">
        <v>0</v>
      </c>
      <c r="R105" s="28">
        <v>65.400000000000006</v>
      </c>
      <c r="S105" s="28">
        <v>108.5</v>
      </c>
      <c r="T105" s="28">
        <v>169.23</v>
      </c>
      <c r="U105" s="28">
        <v>29.81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5">
        <v>0</v>
      </c>
      <c r="AJ105" s="14">
        <v>0</v>
      </c>
      <c r="AK105" s="14"/>
    </row>
    <row r="106" spans="1:37" x14ac:dyDescent="0.25">
      <c r="A106" s="20" t="s">
        <v>146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5"/>
      <c r="AJ106" s="14"/>
      <c r="AK106" s="14"/>
    </row>
    <row r="107" spans="1:37" x14ac:dyDescent="0.25">
      <c r="A107" s="5" t="s">
        <v>147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21">
        <v>1345595</v>
      </c>
      <c r="J107" s="21">
        <v>1633100</v>
      </c>
      <c r="K107" s="21">
        <v>1992570</v>
      </c>
      <c r="L107" s="21">
        <v>2626385</v>
      </c>
      <c r="M107" s="21">
        <v>3478500</v>
      </c>
      <c r="N107" s="21">
        <v>4478535</v>
      </c>
      <c r="O107" s="21">
        <v>6165270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5">
        <v>0</v>
      </c>
      <c r="AJ107" s="21">
        <v>760238</v>
      </c>
      <c r="AK107" s="21"/>
    </row>
    <row r="108" spans="1:37" x14ac:dyDescent="0.25">
      <c r="A108" s="5" t="s">
        <v>148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21">
        <v>457590</v>
      </c>
      <c r="J108" s="21">
        <v>611515</v>
      </c>
      <c r="K108" s="21">
        <v>656400</v>
      </c>
      <c r="L108" s="21">
        <v>915470</v>
      </c>
      <c r="M108" s="21">
        <v>1089555</v>
      </c>
      <c r="N108" s="21">
        <v>1825200</v>
      </c>
      <c r="O108" s="21">
        <v>2422000</v>
      </c>
      <c r="P108" s="14">
        <v>0</v>
      </c>
      <c r="Q108" s="14">
        <v>0</v>
      </c>
      <c r="R108" s="21">
        <v>344490</v>
      </c>
      <c r="S108" s="21">
        <v>234930</v>
      </c>
      <c r="T108" s="21">
        <v>281200</v>
      </c>
      <c r="U108" s="21">
        <v>1026580</v>
      </c>
      <c r="V108" s="14">
        <v>0</v>
      </c>
      <c r="W108" s="21">
        <v>707060</v>
      </c>
      <c r="X108" s="21">
        <v>1503880</v>
      </c>
      <c r="Y108" s="21">
        <v>1810470</v>
      </c>
      <c r="Z108" s="21">
        <v>1516440</v>
      </c>
      <c r="AA108" s="21">
        <v>1638540</v>
      </c>
      <c r="AB108" s="21">
        <v>1333210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5">
        <v>0</v>
      </c>
      <c r="AJ108" s="14">
        <v>0</v>
      </c>
      <c r="AK108" s="14"/>
    </row>
    <row r="109" spans="1:37" x14ac:dyDescent="0.25">
      <c r="A109" s="5" t="s">
        <v>149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21">
        <v>158265</v>
      </c>
      <c r="J109" s="21">
        <v>230805</v>
      </c>
      <c r="K109" s="21">
        <v>2580</v>
      </c>
      <c r="L109" s="21">
        <v>400</v>
      </c>
      <c r="M109" s="14">
        <v>0</v>
      </c>
      <c r="N109" s="14">
        <v>0</v>
      </c>
      <c r="O109" s="21">
        <v>902760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5">
        <v>0</v>
      </c>
      <c r="AJ109" s="21">
        <v>158908</v>
      </c>
      <c r="AK109" s="21"/>
    </row>
    <row r="110" spans="1:37" x14ac:dyDescent="0.25">
      <c r="A110" s="5" t="s">
        <v>150</v>
      </c>
      <c r="B110" s="14">
        <v>0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21">
        <v>11820</v>
      </c>
      <c r="J110" s="21">
        <v>21240</v>
      </c>
      <c r="K110" s="21">
        <v>20005</v>
      </c>
      <c r="L110" s="21">
        <v>62955</v>
      </c>
      <c r="M110" s="21">
        <v>89520</v>
      </c>
      <c r="N110" s="21">
        <v>138465</v>
      </c>
      <c r="O110" s="21">
        <v>355080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5">
        <v>0</v>
      </c>
      <c r="AJ110" s="21">
        <v>13057</v>
      </c>
      <c r="AK110" s="21"/>
    </row>
    <row r="111" spans="1:37" x14ac:dyDescent="0.25">
      <c r="A111" s="5" t="s">
        <v>151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21">
        <v>1633100</v>
      </c>
      <c r="J111" s="21">
        <v>1992570</v>
      </c>
      <c r="K111" s="21">
        <v>2626385</v>
      </c>
      <c r="L111" s="21">
        <v>3478500</v>
      </c>
      <c r="M111" s="21">
        <v>4478535</v>
      </c>
      <c r="N111" s="21">
        <v>6165270</v>
      </c>
      <c r="O111" s="21">
        <v>7329430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5">
        <v>0</v>
      </c>
      <c r="AJ111" s="21">
        <v>588273</v>
      </c>
      <c r="AK111" s="21"/>
    </row>
    <row r="112" spans="1:37" x14ac:dyDescent="0.25">
      <c r="A112" s="20" t="s">
        <v>152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5"/>
      <c r="AJ112" s="14"/>
      <c r="AK112" s="14"/>
    </row>
    <row r="113" spans="1:37" x14ac:dyDescent="0.25">
      <c r="A113" s="5" t="s">
        <v>153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21">
        <v>2000</v>
      </c>
      <c r="I113" s="21">
        <v>8000</v>
      </c>
      <c r="J113" s="14">
        <v>0</v>
      </c>
      <c r="K113" s="21">
        <v>1000</v>
      </c>
      <c r="L113" s="21">
        <v>1000</v>
      </c>
      <c r="M113" s="21">
        <v>6000</v>
      </c>
      <c r="N113" s="21">
        <v>4000</v>
      </c>
      <c r="O113" s="21">
        <v>84000</v>
      </c>
      <c r="P113" s="14">
        <v>0</v>
      </c>
      <c r="Q113" s="14">
        <v>0</v>
      </c>
      <c r="R113" s="21">
        <v>16000</v>
      </c>
      <c r="S113" s="21">
        <v>23000</v>
      </c>
      <c r="T113" s="21">
        <v>35000</v>
      </c>
      <c r="U113" s="21">
        <v>37000</v>
      </c>
      <c r="V113" s="21">
        <v>29000</v>
      </c>
      <c r="W113" s="21">
        <v>33000</v>
      </c>
      <c r="X113" s="21">
        <v>38000</v>
      </c>
      <c r="Y113" s="21">
        <v>33000</v>
      </c>
      <c r="Z113" s="21">
        <v>35000</v>
      </c>
      <c r="AA113" s="21">
        <v>37000</v>
      </c>
      <c r="AB113" s="21">
        <v>22000</v>
      </c>
      <c r="AC113" s="21">
        <v>27000</v>
      </c>
      <c r="AD113" s="21">
        <v>32000</v>
      </c>
      <c r="AE113" s="21">
        <v>26000</v>
      </c>
      <c r="AF113" s="21">
        <v>26000</v>
      </c>
      <c r="AG113" s="21">
        <v>55000</v>
      </c>
      <c r="AH113" s="21">
        <v>57000</v>
      </c>
      <c r="AI113" s="22">
        <v>51000</v>
      </c>
      <c r="AJ113" s="21">
        <v>52000</v>
      </c>
      <c r="AK113" s="21"/>
    </row>
    <row r="114" spans="1:37" x14ac:dyDescent="0.25">
      <c r="A114" s="5" t="s">
        <v>154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21">
        <v>-6000</v>
      </c>
      <c r="S114" s="21">
        <v>-9000</v>
      </c>
      <c r="T114" s="21">
        <v>-13000</v>
      </c>
      <c r="U114" s="21">
        <v>-14000</v>
      </c>
      <c r="V114" s="21">
        <v>-11000</v>
      </c>
      <c r="W114" s="21">
        <v>-12000</v>
      </c>
      <c r="X114" s="21">
        <v>-14000</v>
      </c>
      <c r="Y114" s="21">
        <v>-12000</v>
      </c>
      <c r="Z114" s="21">
        <v>-12000</v>
      </c>
      <c r="AA114" s="21">
        <v>-13000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21">
        <v>-14000</v>
      </c>
      <c r="AH114" s="21">
        <v>-14000</v>
      </c>
      <c r="AI114" s="22">
        <v>-12000</v>
      </c>
      <c r="AJ114" s="21">
        <v>-12000</v>
      </c>
      <c r="AK114" s="21"/>
    </row>
    <row r="115" spans="1:37" x14ac:dyDescent="0.25">
      <c r="A115" s="5" t="s">
        <v>155</v>
      </c>
      <c r="B115" s="14">
        <v>0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21">
        <v>4000</v>
      </c>
      <c r="N115" s="21">
        <v>2000</v>
      </c>
      <c r="O115" s="21">
        <v>51000</v>
      </c>
      <c r="P115" s="21">
        <v>21000</v>
      </c>
      <c r="Q115" s="14">
        <v>0</v>
      </c>
      <c r="R115" s="21">
        <v>10000</v>
      </c>
      <c r="S115" s="21">
        <v>14000</v>
      </c>
      <c r="T115" s="21">
        <v>22000</v>
      </c>
      <c r="U115" s="21">
        <v>23000</v>
      </c>
      <c r="V115" s="21">
        <v>18000</v>
      </c>
      <c r="W115" s="21">
        <v>21000</v>
      </c>
      <c r="X115" s="21">
        <v>24000</v>
      </c>
      <c r="Y115" s="21">
        <v>21000</v>
      </c>
      <c r="Z115" s="21">
        <v>23000</v>
      </c>
      <c r="AA115" s="21">
        <v>24000</v>
      </c>
      <c r="AB115" s="21">
        <v>22000</v>
      </c>
      <c r="AC115" s="21">
        <v>27000</v>
      </c>
      <c r="AD115" s="21">
        <v>32000</v>
      </c>
      <c r="AE115" s="21">
        <v>26000</v>
      </c>
      <c r="AF115" s="21">
        <v>26000</v>
      </c>
      <c r="AG115" s="21">
        <v>41000</v>
      </c>
      <c r="AH115" s="21">
        <v>43000</v>
      </c>
      <c r="AI115" s="22">
        <v>39000</v>
      </c>
      <c r="AJ115" s="21">
        <v>40000</v>
      </c>
      <c r="AK115" s="21"/>
    </row>
    <row r="116" spans="1:37" x14ac:dyDescent="0.25">
      <c r="A116" s="20" t="s">
        <v>156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5"/>
      <c r="AJ116" s="14"/>
      <c r="AK116" s="14"/>
    </row>
    <row r="117" spans="1:37" x14ac:dyDescent="0.25">
      <c r="A117" s="5" t="s">
        <v>157</v>
      </c>
      <c r="B117" s="14">
        <v>0</v>
      </c>
      <c r="C117" s="21">
        <v>23000</v>
      </c>
      <c r="D117" s="21">
        <v>10000</v>
      </c>
      <c r="E117" s="21">
        <v>8000</v>
      </c>
      <c r="F117" s="21">
        <v>8000</v>
      </c>
      <c r="G117" s="21">
        <v>5000</v>
      </c>
      <c r="H117" s="21">
        <v>8000</v>
      </c>
      <c r="I117" s="21">
        <v>7000</v>
      </c>
      <c r="J117" s="21">
        <v>6000</v>
      </c>
      <c r="K117" s="21">
        <v>6000</v>
      </c>
      <c r="L117" s="21">
        <v>3000</v>
      </c>
      <c r="M117" s="21">
        <v>1000</v>
      </c>
      <c r="N117" s="21">
        <v>5000</v>
      </c>
      <c r="O117" s="21">
        <v>8000</v>
      </c>
      <c r="P117" s="21">
        <v>8000</v>
      </c>
      <c r="Q117" s="21">
        <v>12000</v>
      </c>
      <c r="R117" s="21">
        <v>3000</v>
      </c>
      <c r="S117" s="21">
        <v>7000</v>
      </c>
      <c r="T117" s="21">
        <v>14000</v>
      </c>
      <c r="U117" s="21">
        <v>15000</v>
      </c>
      <c r="V117" s="21">
        <v>16000</v>
      </c>
      <c r="W117" s="21">
        <v>39000</v>
      </c>
      <c r="X117" s="21">
        <v>41000</v>
      </c>
      <c r="Y117" s="21">
        <v>19000</v>
      </c>
      <c r="Z117" s="21">
        <v>14000</v>
      </c>
      <c r="AA117" s="21">
        <v>14000</v>
      </c>
      <c r="AB117" s="21">
        <v>4000</v>
      </c>
      <c r="AC117" s="21">
        <v>3000</v>
      </c>
      <c r="AD117" s="21">
        <v>7000</v>
      </c>
      <c r="AE117" s="21">
        <v>20000</v>
      </c>
      <c r="AF117" s="21">
        <v>26000</v>
      </c>
      <c r="AG117" s="21">
        <v>29000</v>
      </c>
      <c r="AH117" s="21">
        <v>59000</v>
      </c>
      <c r="AI117" s="22">
        <v>162000</v>
      </c>
      <c r="AJ117" s="21">
        <v>213000</v>
      </c>
      <c r="AK117" s="21"/>
    </row>
    <row r="118" spans="1:37" x14ac:dyDescent="0.25">
      <c r="A118" s="6"/>
    </row>
  </sheetData>
  <mergeCells count="2">
    <mergeCell ref="A1:D1"/>
    <mergeCell ref="A12:AJ1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C4E6-5C07-48C1-A8E6-66A9A38C1574}">
  <sheetPr>
    <tabColor theme="5"/>
  </sheetPr>
  <dimension ref="A1:AJ120"/>
  <sheetViews>
    <sheetView workbookViewId="0">
      <pane xSplit="1" ySplit="1" topLeftCell="R9" activePane="bottomRight" state="frozen"/>
      <selection activeCell="D14" sqref="D14:AJ53"/>
      <selection pane="topRight" activeCell="D14" sqref="D14:AJ53"/>
      <selection pane="bottomLeft" activeCell="D14" sqref="D14:AJ53"/>
      <selection pane="bottomRight" activeCell="D14" sqref="D14:AJ53"/>
    </sheetView>
  </sheetViews>
  <sheetFormatPr defaultRowHeight="15" x14ac:dyDescent="0.25"/>
  <cols>
    <col min="1" max="1" width="48.5703125" customWidth="1"/>
    <col min="2" max="36" width="16.140625" customWidth="1"/>
  </cols>
  <sheetData>
    <row r="1" spans="1:36" ht="39.950000000000003" customHeight="1" x14ac:dyDescent="0.25">
      <c r="A1" s="1"/>
      <c r="B1" s="1"/>
      <c r="C1" s="1"/>
      <c r="D1" s="1"/>
    </row>
    <row r="2" spans="1:36" ht="37.5" x14ac:dyDescent="0.3">
      <c r="A2" s="3" t="s">
        <v>158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x14ac:dyDescent="0.25">
      <c r="A3" s="5" t="s">
        <v>1</v>
      </c>
    </row>
    <row r="5" spans="1:36" x14ac:dyDescent="0.25">
      <c r="A5" s="5" t="s">
        <v>2</v>
      </c>
      <c r="B5" s="6"/>
    </row>
    <row r="6" spans="1:36" x14ac:dyDescent="0.25">
      <c r="A6" s="5" t="s">
        <v>3</v>
      </c>
      <c r="B6" s="6"/>
    </row>
    <row r="7" spans="1:36" x14ac:dyDescent="0.25">
      <c r="A7" s="5" t="s">
        <v>4</v>
      </c>
      <c r="B7" s="6"/>
    </row>
    <row r="8" spans="1:36" x14ac:dyDescent="0.25">
      <c r="A8" s="5" t="s">
        <v>5</v>
      </c>
      <c r="B8" s="6"/>
    </row>
    <row r="9" spans="1:36" x14ac:dyDescent="0.25">
      <c r="A9" s="5" t="s">
        <v>6</v>
      </c>
      <c r="B9" s="6"/>
    </row>
    <row r="10" spans="1:36" x14ac:dyDescent="0.25">
      <c r="A10" s="5" t="s">
        <v>7</v>
      </c>
      <c r="B10" s="6"/>
    </row>
    <row r="11" spans="1:36" x14ac:dyDescent="0.25">
      <c r="A11" s="5" t="s">
        <v>9</v>
      </c>
      <c r="B11" s="6"/>
    </row>
    <row r="12" spans="1:36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 x14ac:dyDescent="0.25">
      <c r="A13" s="10" t="s">
        <v>12</v>
      </c>
      <c r="B13" s="12" t="s">
        <v>13</v>
      </c>
      <c r="C13" s="12" t="s">
        <v>14</v>
      </c>
      <c r="D13" s="12" t="s">
        <v>15</v>
      </c>
      <c r="E13" s="12" t="s">
        <v>16</v>
      </c>
      <c r="F13" s="12" t="s">
        <v>17</v>
      </c>
      <c r="G13" s="12" t="s">
        <v>18</v>
      </c>
      <c r="H13" s="12" t="s">
        <v>19</v>
      </c>
      <c r="I13" s="12" t="s">
        <v>20</v>
      </c>
      <c r="J13" s="12" t="s">
        <v>21</v>
      </c>
      <c r="K13" s="12" t="s">
        <v>22</v>
      </c>
      <c r="L13" s="12" t="s">
        <v>23</v>
      </c>
      <c r="M13" s="12" t="s">
        <v>24</v>
      </c>
      <c r="N13" s="12" t="s">
        <v>25</v>
      </c>
      <c r="O13" s="12" t="s">
        <v>26</v>
      </c>
      <c r="P13" s="12" t="s">
        <v>27</v>
      </c>
      <c r="Q13" s="12" t="s">
        <v>28</v>
      </c>
      <c r="R13" s="12" t="s">
        <v>29</v>
      </c>
      <c r="S13" s="12" t="s">
        <v>30</v>
      </c>
      <c r="T13" s="12" t="s">
        <v>31</v>
      </c>
      <c r="U13" s="12" t="s">
        <v>32</v>
      </c>
      <c r="V13" s="12" t="s">
        <v>33</v>
      </c>
      <c r="W13" s="12" t="s">
        <v>34</v>
      </c>
      <c r="X13" s="12" t="s">
        <v>35</v>
      </c>
      <c r="Y13" s="12" t="s">
        <v>36</v>
      </c>
      <c r="Z13" s="12" t="s">
        <v>37</v>
      </c>
      <c r="AA13" s="12" t="s">
        <v>38</v>
      </c>
      <c r="AB13" s="12" t="s">
        <v>39</v>
      </c>
      <c r="AC13" s="12" t="s">
        <v>40</v>
      </c>
      <c r="AD13" s="12" t="s">
        <v>41</v>
      </c>
      <c r="AE13" s="12" t="s">
        <v>42</v>
      </c>
      <c r="AF13" s="12" t="s">
        <v>43</v>
      </c>
      <c r="AG13" s="12" t="s">
        <v>44</v>
      </c>
      <c r="AH13" s="12" t="s">
        <v>45</v>
      </c>
      <c r="AI13" s="12" t="s">
        <v>46</v>
      </c>
      <c r="AJ13" s="12" t="s">
        <v>47</v>
      </c>
    </row>
    <row r="14" spans="1:36" ht="30" x14ac:dyDescent="0.25">
      <c r="A14" s="5" t="s">
        <v>51</v>
      </c>
      <c r="B14" s="14" t="s">
        <v>52</v>
      </c>
      <c r="C14" s="14" t="s">
        <v>52</v>
      </c>
      <c r="D14" s="14" t="s">
        <v>52</v>
      </c>
      <c r="E14" s="14" t="s">
        <v>52</v>
      </c>
      <c r="F14" s="14" t="s">
        <v>52</v>
      </c>
      <c r="G14" s="14" t="s">
        <v>52</v>
      </c>
      <c r="H14" s="14" t="s">
        <v>52</v>
      </c>
      <c r="I14" s="14" t="s">
        <v>52</v>
      </c>
      <c r="J14" s="14" t="s">
        <v>52</v>
      </c>
      <c r="K14" s="14" t="s">
        <v>52</v>
      </c>
      <c r="L14" s="14" t="s">
        <v>52</v>
      </c>
      <c r="M14" s="14" t="s">
        <v>52</v>
      </c>
      <c r="N14" s="14" t="s">
        <v>52</v>
      </c>
      <c r="O14" s="14" t="s">
        <v>52</v>
      </c>
      <c r="P14" s="14" t="s">
        <v>52</v>
      </c>
      <c r="Q14" s="14" t="s">
        <v>52</v>
      </c>
      <c r="R14" s="14" t="s">
        <v>52</v>
      </c>
      <c r="S14" s="14" t="s">
        <v>52</v>
      </c>
      <c r="T14" s="14" t="s">
        <v>52</v>
      </c>
      <c r="U14" s="14" t="s">
        <v>52</v>
      </c>
      <c r="V14" s="14" t="s">
        <v>52</v>
      </c>
      <c r="W14" s="14" t="s">
        <v>52</v>
      </c>
      <c r="X14" s="14" t="s">
        <v>52</v>
      </c>
      <c r="Y14" s="14" t="s">
        <v>52</v>
      </c>
      <c r="Z14" s="14" t="s">
        <v>52</v>
      </c>
      <c r="AA14" s="14" t="s">
        <v>52</v>
      </c>
      <c r="AB14" s="14" t="s">
        <v>52</v>
      </c>
      <c r="AC14" s="14" t="s">
        <v>52</v>
      </c>
      <c r="AD14" s="14" t="s">
        <v>52</v>
      </c>
      <c r="AE14" s="14" t="s">
        <v>52</v>
      </c>
      <c r="AF14" s="14" t="s">
        <v>52</v>
      </c>
      <c r="AG14" s="14" t="s">
        <v>52</v>
      </c>
      <c r="AH14" s="14" t="s">
        <v>52</v>
      </c>
      <c r="AI14" s="14" t="s">
        <v>52</v>
      </c>
      <c r="AJ14" s="14" t="s">
        <v>52</v>
      </c>
    </row>
    <row r="15" spans="1:36" x14ac:dyDescent="0.25">
      <c r="A15" s="5" t="s">
        <v>53</v>
      </c>
      <c r="B15" s="16">
        <v>33238</v>
      </c>
      <c r="C15" s="16">
        <v>33603</v>
      </c>
      <c r="D15" s="16">
        <v>33969</v>
      </c>
      <c r="E15" s="16">
        <v>34334</v>
      </c>
      <c r="F15" s="16">
        <v>34699</v>
      </c>
      <c r="G15" s="16">
        <v>35064</v>
      </c>
      <c r="H15" s="16">
        <v>35430</v>
      </c>
      <c r="I15" s="16">
        <v>35795</v>
      </c>
      <c r="J15" s="16">
        <v>36160</v>
      </c>
      <c r="K15" s="16">
        <v>36525</v>
      </c>
      <c r="L15" s="16">
        <v>36891</v>
      </c>
      <c r="M15" s="16">
        <v>37256</v>
      </c>
      <c r="N15" s="16">
        <v>37621</v>
      </c>
      <c r="O15" s="16">
        <v>37986</v>
      </c>
      <c r="P15" s="16">
        <v>38352</v>
      </c>
      <c r="Q15" s="16">
        <v>38717</v>
      </c>
      <c r="R15" s="16">
        <v>39082</v>
      </c>
      <c r="S15" s="16">
        <v>39447</v>
      </c>
      <c r="T15" s="16">
        <v>39813</v>
      </c>
      <c r="U15" s="16">
        <v>40178</v>
      </c>
      <c r="V15" s="16">
        <v>40543</v>
      </c>
      <c r="W15" s="16">
        <v>40908</v>
      </c>
      <c r="X15" s="16">
        <v>41274</v>
      </c>
      <c r="Y15" s="16">
        <v>41639</v>
      </c>
      <c r="Z15" s="16">
        <v>42004</v>
      </c>
      <c r="AA15" s="16">
        <v>42369</v>
      </c>
      <c r="AB15" s="16">
        <v>42735</v>
      </c>
      <c r="AC15" s="16">
        <v>43100</v>
      </c>
      <c r="AD15" s="16">
        <v>43465</v>
      </c>
      <c r="AE15" s="16">
        <v>43830</v>
      </c>
      <c r="AF15" s="16">
        <v>44196</v>
      </c>
      <c r="AG15" s="16">
        <v>44561</v>
      </c>
      <c r="AH15" s="16">
        <v>44926</v>
      </c>
      <c r="AI15" s="16">
        <v>45291</v>
      </c>
      <c r="AJ15" s="16">
        <v>45657</v>
      </c>
    </row>
    <row r="16" spans="1:36" x14ac:dyDescent="0.25">
      <c r="A16" s="5" t="s">
        <v>54</v>
      </c>
      <c r="B16" s="16">
        <v>34029</v>
      </c>
      <c r="C16" s="16">
        <v>34408</v>
      </c>
      <c r="D16" s="16">
        <v>34778</v>
      </c>
      <c r="E16" s="16">
        <v>35130</v>
      </c>
      <c r="F16" s="16">
        <v>35496</v>
      </c>
      <c r="G16" s="16">
        <v>35858</v>
      </c>
      <c r="H16" s="16">
        <v>36227</v>
      </c>
      <c r="I16" s="16">
        <v>36598</v>
      </c>
      <c r="J16" s="16">
        <v>36962</v>
      </c>
      <c r="K16" s="16">
        <v>37334</v>
      </c>
      <c r="L16" s="16">
        <v>37690</v>
      </c>
      <c r="M16" s="16">
        <v>38042</v>
      </c>
      <c r="N16" s="16">
        <v>38408</v>
      </c>
      <c r="O16" s="16">
        <v>38776</v>
      </c>
      <c r="P16" s="16">
        <v>39140</v>
      </c>
      <c r="Q16" s="16">
        <v>39505</v>
      </c>
      <c r="R16" s="16">
        <v>39868</v>
      </c>
      <c r="S16" s="16">
        <v>40233</v>
      </c>
      <c r="T16" s="16">
        <v>40596</v>
      </c>
      <c r="U16" s="16">
        <v>40967</v>
      </c>
      <c r="V16" s="16">
        <v>41320</v>
      </c>
      <c r="W16" s="16">
        <v>41695</v>
      </c>
      <c r="X16" s="16">
        <v>42059</v>
      </c>
      <c r="Y16" s="16">
        <v>42429</v>
      </c>
      <c r="Z16" s="16">
        <v>42794</v>
      </c>
      <c r="AA16" s="16">
        <v>43152</v>
      </c>
      <c r="AB16" s="16">
        <v>43511</v>
      </c>
      <c r="AC16" s="16">
        <v>43875</v>
      </c>
      <c r="AD16" s="16">
        <v>44239</v>
      </c>
      <c r="AE16" s="16">
        <v>44603</v>
      </c>
      <c r="AF16" s="16">
        <v>44960</v>
      </c>
      <c r="AG16" s="16">
        <v>45324</v>
      </c>
      <c r="AH16" s="16">
        <v>45688</v>
      </c>
      <c r="AI16" s="16">
        <v>45688</v>
      </c>
      <c r="AJ16" s="16">
        <v>45688</v>
      </c>
    </row>
    <row r="17" spans="1:36" x14ac:dyDescent="0.25">
      <c r="A17" s="5" t="s">
        <v>55</v>
      </c>
      <c r="B17" s="18">
        <v>1</v>
      </c>
      <c r="C17" s="18">
        <v>1</v>
      </c>
      <c r="D17" s="18">
        <v>1</v>
      </c>
      <c r="E17" s="18">
        <v>1</v>
      </c>
      <c r="F17" s="18">
        <v>1</v>
      </c>
      <c r="G17" s="18">
        <v>1</v>
      </c>
      <c r="H17" s="18">
        <v>1</v>
      </c>
      <c r="I17" s="18">
        <v>1</v>
      </c>
      <c r="J17" s="18">
        <v>1</v>
      </c>
      <c r="K17" s="18">
        <v>1</v>
      </c>
      <c r="L17" s="18">
        <v>1</v>
      </c>
      <c r="M17" s="18">
        <v>1</v>
      </c>
      <c r="N17" s="18">
        <v>1</v>
      </c>
      <c r="O17" s="18">
        <v>1</v>
      </c>
      <c r="P17" s="18">
        <v>1</v>
      </c>
      <c r="Q17" s="18">
        <v>1</v>
      </c>
      <c r="R17" s="18">
        <v>1</v>
      </c>
      <c r="S17" s="18">
        <v>1</v>
      </c>
      <c r="T17" s="18">
        <v>1</v>
      </c>
      <c r="U17" s="18">
        <v>1</v>
      </c>
      <c r="V17" s="18">
        <v>1</v>
      </c>
      <c r="W17" s="18">
        <v>1</v>
      </c>
      <c r="X17" s="18">
        <v>1</v>
      </c>
      <c r="Y17" s="18">
        <v>1</v>
      </c>
      <c r="Z17" s="18">
        <v>1</v>
      </c>
      <c r="AA17" s="18">
        <v>1</v>
      </c>
      <c r="AB17" s="18">
        <v>1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18">
        <v>1</v>
      </c>
      <c r="AJ17" s="18">
        <v>1</v>
      </c>
    </row>
    <row r="18" spans="1:36" x14ac:dyDescent="0.25">
      <c r="A18" s="5" t="s">
        <v>56</v>
      </c>
      <c r="B18" s="18">
        <v>1</v>
      </c>
      <c r="C18" s="18">
        <v>1</v>
      </c>
      <c r="D18" s="18">
        <v>1</v>
      </c>
      <c r="E18" s="18">
        <v>1</v>
      </c>
      <c r="F18" s="18">
        <v>1</v>
      </c>
      <c r="G18" s="18">
        <v>1</v>
      </c>
      <c r="H18" s="18">
        <v>1</v>
      </c>
      <c r="I18" s="18">
        <v>1</v>
      </c>
      <c r="J18" s="18">
        <v>1</v>
      </c>
      <c r="K18" s="18">
        <v>1</v>
      </c>
      <c r="L18" s="18">
        <v>1</v>
      </c>
      <c r="M18" s="18">
        <v>1</v>
      </c>
      <c r="N18" s="18">
        <v>1</v>
      </c>
      <c r="O18" s="18">
        <v>1</v>
      </c>
      <c r="P18" s="18">
        <v>1</v>
      </c>
      <c r="Q18" s="18">
        <v>1</v>
      </c>
      <c r="R18" s="18">
        <v>1</v>
      </c>
      <c r="S18" s="18">
        <v>1</v>
      </c>
      <c r="T18" s="18">
        <v>1</v>
      </c>
      <c r="U18" s="18">
        <v>1</v>
      </c>
      <c r="V18" s="18">
        <v>1</v>
      </c>
      <c r="W18" s="18">
        <v>1</v>
      </c>
      <c r="X18" s="18">
        <v>1</v>
      </c>
      <c r="Y18" s="18">
        <v>1</v>
      </c>
      <c r="Z18" s="18">
        <v>1</v>
      </c>
      <c r="AA18" s="18">
        <v>1</v>
      </c>
      <c r="AB18" s="18">
        <v>1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18">
        <v>1</v>
      </c>
      <c r="AJ18" s="18">
        <v>1</v>
      </c>
    </row>
    <row r="19" spans="1:36" x14ac:dyDescent="0.25">
      <c r="A19" s="5" t="s">
        <v>159</v>
      </c>
      <c r="B19" s="14" t="s">
        <v>160</v>
      </c>
      <c r="C19" s="14" t="s">
        <v>160</v>
      </c>
      <c r="D19" s="14" t="s">
        <v>160</v>
      </c>
      <c r="E19" s="14" t="s">
        <v>160</v>
      </c>
      <c r="F19" s="14" t="s">
        <v>160</v>
      </c>
      <c r="G19" s="14" t="s">
        <v>160</v>
      </c>
      <c r="H19" s="14" t="s">
        <v>160</v>
      </c>
      <c r="I19" s="14" t="s">
        <v>160</v>
      </c>
      <c r="J19" s="14" t="s">
        <v>160</v>
      </c>
      <c r="K19" s="14" t="s">
        <v>160</v>
      </c>
      <c r="L19" s="14" t="s">
        <v>160</v>
      </c>
      <c r="M19" s="14" t="s">
        <v>160</v>
      </c>
      <c r="N19" s="14" t="s">
        <v>160</v>
      </c>
      <c r="O19" s="14" t="s">
        <v>160</v>
      </c>
      <c r="P19" s="14" t="s">
        <v>160</v>
      </c>
      <c r="Q19" s="14" t="s">
        <v>160</v>
      </c>
      <c r="R19" s="14" t="s">
        <v>160</v>
      </c>
      <c r="S19" s="14" t="s">
        <v>160</v>
      </c>
      <c r="T19" s="14" t="s">
        <v>160</v>
      </c>
      <c r="U19" s="14" t="s">
        <v>160</v>
      </c>
      <c r="V19" s="14" t="s">
        <v>160</v>
      </c>
      <c r="W19" s="14" t="s">
        <v>160</v>
      </c>
      <c r="X19" s="14" t="s">
        <v>160</v>
      </c>
      <c r="Y19" s="14" t="s">
        <v>160</v>
      </c>
      <c r="Z19" s="14" t="s">
        <v>160</v>
      </c>
      <c r="AA19" s="14" t="s">
        <v>160</v>
      </c>
      <c r="AB19" s="14" t="s">
        <v>160</v>
      </c>
      <c r="AC19" s="14" t="s">
        <v>160</v>
      </c>
      <c r="AD19" s="14" t="s">
        <v>160</v>
      </c>
      <c r="AE19" s="14" t="s">
        <v>160</v>
      </c>
      <c r="AF19" s="14" t="s">
        <v>160</v>
      </c>
      <c r="AG19" s="14" t="s">
        <v>160</v>
      </c>
      <c r="AH19" s="14" t="s">
        <v>160</v>
      </c>
      <c r="AI19" s="14" t="s">
        <v>160</v>
      </c>
      <c r="AJ19" s="14" t="s">
        <v>160</v>
      </c>
    </row>
    <row r="20" spans="1:36" x14ac:dyDescent="0.25">
      <c r="A20" s="5" t="s">
        <v>51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 x14ac:dyDescent="0.25">
      <c r="A21" s="20" t="s">
        <v>161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 x14ac:dyDescent="0.25">
      <c r="A22" s="5" t="s">
        <v>162</v>
      </c>
      <c r="B22" s="14" t="s">
        <v>163</v>
      </c>
      <c r="C22" s="21">
        <v>79000</v>
      </c>
      <c r="D22" s="21">
        <v>22000</v>
      </c>
      <c r="E22" s="21">
        <v>79000</v>
      </c>
      <c r="F22" s="21">
        <v>20000</v>
      </c>
      <c r="G22" s="21">
        <v>52000</v>
      </c>
      <c r="H22" s="21">
        <v>23000</v>
      </c>
      <c r="I22" s="21">
        <v>18000</v>
      </c>
      <c r="J22" s="21">
        <v>9000</v>
      </c>
      <c r="K22" s="21">
        <v>22000</v>
      </c>
      <c r="L22" s="21">
        <v>219000</v>
      </c>
      <c r="M22" s="21">
        <v>147000</v>
      </c>
      <c r="N22" s="21">
        <v>243000</v>
      </c>
      <c r="O22" s="21">
        <v>316000</v>
      </c>
      <c r="P22" s="21">
        <v>1037000</v>
      </c>
      <c r="Q22" s="21">
        <v>1479000</v>
      </c>
      <c r="R22" s="21">
        <v>1422000</v>
      </c>
      <c r="S22" s="21">
        <v>401000</v>
      </c>
      <c r="T22" s="21">
        <v>724000</v>
      </c>
      <c r="U22" s="21">
        <v>1218000</v>
      </c>
      <c r="V22" s="21">
        <v>578000</v>
      </c>
      <c r="W22" s="21">
        <v>408000</v>
      </c>
      <c r="X22" s="21">
        <v>570000</v>
      </c>
      <c r="Y22" s="21">
        <v>604000</v>
      </c>
      <c r="Z22" s="21">
        <v>1354000</v>
      </c>
      <c r="AA22" s="21">
        <v>755000</v>
      </c>
      <c r="AB22" s="21">
        <v>1515000</v>
      </c>
      <c r="AC22" s="21">
        <v>1553000</v>
      </c>
      <c r="AD22" s="21">
        <v>1000000</v>
      </c>
      <c r="AE22" s="21">
        <v>749000</v>
      </c>
      <c r="AF22" s="21">
        <v>1985000</v>
      </c>
      <c r="AG22" s="21">
        <v>2522000</v>
      </c>
      <c r="AH22" s="21">
        <v>3504000</v>
      </c>
      <c r="AI22" s="21">
        <v>2948000</v>
      </c>
      <c r="AJ22" s="21">
        <v>1367000</v>
      </c>
    </row>
    <row r="23" spans="1:36" x14ac:dyDescent="0.25">
      <c r="A23" s="5" t="s">
        <v>164</v>
      </c>
      <c r="B23" s="14" t="s">
        <v>163</v>
      </c>
      <c r="C23" s="21">
        <v>79000</v>
      </c>
      <c r="D23" s="21">
        <v>22000</v>
      </c>
      <c r="E23" s="21">
        <v>79000</v>
      </c>
      <c r="F23" s="21">
        <v>20000</v>
      </c>
      <c r="G23" s="21">
        <v>52000</v>
      </c>
      <c r="H23" s="21">
        <v>23000</v>
      </c>
      <c r="I23" s="21">
        <v>18000</v>
      </c>
      <c r="J23" s="21">
        <v>9000</v>
      </c>
      <c r="K23" s="21">
        <v>22000</v>
      </c>
      <c r="L23" s="21">
        <v>219000</v>
      </c>
      <c r="M23" s="21">
        <v>147000</v>
      </c>
      <c r="N23" s="21">
        <v>243000</v>
      </c>
      <c r="O23" s="21">
        <v>316000</v>
      </c>
      <c r="P23" s="21">
        <v>1037000</v>
      </c>
      <c r="Q23" s="21">
        <v>1479000</v>
      </c>
      <c r="R23" s="21">
        <v>1422000</v>
      </c>
      <c r="S23" s="21">
        <v>401000</v>
      </c>
      <c r="T23" s="21">
        <v>724000</v>
      </c>
      <c r="U23" s="21">
        <v>1218000</v>
      </c>
      <c r="V23" s="21">
        <v>578000</v>
      </c>
      <c r="W23" s="21">
        <v>408000</v>
      </c>
      <c r="X23" s="21">
        <v>570000</v>
      </c>
      <c r="Y23" s="21">
        <v>604000</v>
      </c>
      <c r="Z23" s="21">
        <v>1354000</v>
      </c>
      <c r="AA23" s="21">
        <v>755000</v>
      </c>
      <c r="AB23" s="21">
        <v>1515000</v>
      </c>
      <c r="AC23" s="21">
        <v>1553000</v>
      </c>
      <c r="AD23" s="21">
        <v>1000000</v>
      </c>
      <c r="AE23" s="21">
        <v>749000</v>
      </c>
      <c r="AF23" s="21">
        <v>1985000</v>
      </c>
      <c r="AG23" s="21">
        <v>2522000</v>
      </c>
      <c r="AH23" s="21">
        <v>3504000</v>
      </c>
      <c r="AI23" s="21">
        <v>2948000</v>
      </c>
      <c r="AJ23" s="21">
        <v>1367000</v>
      </c>
    </row>
    <row r="24" spans="1:36" x14ac:dyDescent="0.25">
      <c r="A24" s="5" t="s">
        <v>165</v>
      </c>
      <c r="B24" s="14" t="s">
        <v>163</v>
      </c>
      <c r="C24" s="21">
        <v>487000</v>
      </c>
      <c r="D24" s="21">
        <v>400000</v>
      </c>
      <c r="E24" s="21">
        <v>583000</v>
      </c>
      <c r="F24" s="21">
        <v>672000</v>
      </c>
      <c r="G24" s="21">
        <v>614000</v>
      </c>
      <c r="H24" s="21">
        <v>580000</v>
      </c>
      <c r="I24" s="21">
        <v>588000</v>
      </c>
      <c r="J24" s="21">
        <v>392000</v>
      </c>
      <c r="K24" s="21">
        <v>488000</v>
      </c>
      <c r="L24" s="21">
        <v>625000</v>
      </c>
      <c r="M24" s="21">
        <v>552000</v>
      </c>
      <c r="N24" s="21">
        <v>589000</v>
      </c>
      <c r="O24" s="21">
        <v>799000</v>
      </c>
      <c r="P24" s="21">
        <v>1194000</v>
      </c>
      <c r="Q24" s="21">
        <v>1020000</v>
      </c>
      <c r="R24" s="21">
        <v>990000</v>
      </c>
      <c r="S24" s="21">
        <v>916000</v>
      </c>
      <c r="T24" s="21">
        <v>1108000</v>
      </c>
      <c r="U24" s="21">
        <v>936000</v>
      </c>
      <c r="V24" s="21">
        <v>1106000</v>
      </c>
      <c r="W24" s="21">
        <v>966000</v>
      </c>
      <c r="X24" s="21">
        <v>1345000</v>
      </c>
      <c r="Y24" s="21">
        <v>1975000</v>
      </c>
      <c r="Z24" s="21">
        <v>1911000</v>
      </c>
      <c r="AA24" s="21">
        <v>1059000</v>
      </c>
      <c r="AB24" s="21">
        <v>1239000</v>
      </c>
      <c r="AC24" s="21">
        <v>1364000</v>
      </c>
      <c r="AD24" s="21">
        <v>1645000</v>
      </c>
      <c r="AE24" s="21">
        <v>1176000</v>
      </c>
      <c r="AF24" s="21">
        <v>989000</v>
      </c>
      <c r="AG24" s="21">
        <v>2042000</v>
      </c>
      <c r="AH24" s="21">
        <v>1635000</v>
      </c>
      <c r="AI24" s="21">
        <v>1544000</v>
      </c>
      <c r="AJ24" s="21">
        <v>1357000</v>
      </c>
    </row>
    <row r="25" spans="1:36" x14ac:dyDescent="0.25">
      <c r="A25" s="5" t="s">
        <v>166</v>
      </c>
      <c r="B25" s="14" t="s">
        <v>163</v>
      </c>
      <c r="C25" s="21">
        <v>99000</v>
      </c>
      <c r="D25" s="21">
        <v>47000</v>
      </c>
      <c r="E25" s="21">
        <v>13000</v>
      </c>
      <c r="F25" s="21">
        <v>44000</v>
      </c>
      <c r="G25" s="14" t="s">
        <v>163</v>
      </c>
      <c r="H25" s="14" t="s">
        <v>163</v>
      </c>
      <c r="I25" s="14" t="s">
        <v>163</v>
      </c>
      <c r="J25" s="14" t="s">
        <v>163</v>
      </c>
      <c r="K25" s="21">
        <v>447000</v>
      </c>
      <c r="L25" s="21">
        <v>716000</v>
      </c>
      <c r="M25" s="21">
        <v>278000</v>
      </c>
      <c r="N25" s="21">
        <v>345000</v>
      </c>
      <c r="O25" s="21">
        <v>420000</v>
      </c>
      <c r="P25" s="21">
        <v>576000</v>
      </c>
      <c r="Q25" s="21">
        <v>589000</v>
      </c>
      <c r="R25" s="21">
        <v>809000</v>
      </c>
      <c r="S25" s="21">
        <v>1161000</v>
      </c>
      <c r="T25" s="21">
        <v>1180000</v>
      </c>
      <c r="U25" s="21">
        <v>845000</v>
      </c>
      <c r="V25" s="21">
        <v>1092000</v>
      </c>
      <c r="W25" s="21">
        <v>1087000</v>
      </c>
      <c r="X25" s="21">
        <v>745000</v>
      </c>
      <c r="Y25" s="21">
        <v>185000</v>
      </c>
      <c r="Z25" s="14" t="s">
        <v>163</v>
      </c>
      <c r="AA25" s="14" t="s">
        <v>163</v>
      </c>
      <c r="AB25" s="14" t="s">
        <v>163</v>
      </c>
      <c r="AC25" s="14" t="s">
        <v>163</v>
      </c>
      <c r="AD25" s="14" t="s">
        <v>163</v>
      </c>
      <c r="AE25" s="14" t="s">
        <v>163</v>
      </c>
      <c r="AF25" s="14" t="s">
        <v>163</v>
      </c>
      <c r="AG25" s="14" t="s">
        <v>163</v>
      </c>
      <c r="AH25" s="14" t="s">
        <v>163</v>
      </c>
      <c r="AI25" s="14" t="s">
        <v>163</v>
      </c>
      <c r="AJ25" s="14" t="s">
        <v>163</v>
      </c>
    </row>
    <row r="26" spans="1:36" x14ac:dyDescent="0.25">
      <c r="A26" s="5" t="s">
        <v>167</v>
      </c>
      <c r="B26" s="14" t="s">
        <v>163</v>
      </c>
      <c r="C26" s="21">
        <v>586000</v>
      </c>
      <c r="D26" s="21">
        <v>447000</v>
      </c>
      <c r="E26" s="21">
        <v>596000</v>
      </c>
      <c r="F26" s="21">
        <v>716000</v>
      </c>
      <c r="G26" s="21">
        <v>614000</v>
      </c>
      <c r="H26" s="21">
        <v>580000</v>
      </c>
      <c r="I26" s="21">
        <v>588000</v>
      </c>
      <c r="J26" s="21">
        <v>392000</v>
      </c>
      <c r="K26" s="21">
        <v>935000</v>
      </c>
      <c r="L26" s="21">
        <v>1341000</v>
      </c>
      <c r="M26" s="21">
        <v>830000</v>
      </c>
      <c r="N26" s="21">
        <v>934000</v>
      </c>
      <c r="O26" s="21">
        <v>1219000</v>
      </c>
      <c r="P26" s="21">
        <v>1770000</v>
      </c>
      <c r="Q26" s="21">
        <v>1609000</v>
      </c>
      <c r="R26" s="21">
        <v>1799000</v>
      </c>
      <c r="S26" s="21">
        <v>2077000</v>
      </c>
      <c r="T26" s="21">
        <v>2288000</v>
      </c>
      <c r="U26" s="21">
        <v>1781000</v>
      </c>
      <c r="V26" s="21">
        <v>2198000</v>
      </c>
      <c r="W26" s="21">
        <v>2053000</v>
      </c>
      <c r="X26" s="21">
        <v>2090000</v>
      </c>
      <c r="Y26" s="21">
        <v>2160000</v>
      </c>
      <c r="Z26" s="21">
        <v>1911000</v>
      </c>
      <c r="AA26" s="21">
        <v>1059000</v>
      </c>
      <c r="AB26" s="21">
        <v>1239000</v>
      </c>
      <c r="AC26" s="21">
        <v>1364000</v>
      </c>
      <c r="AD26" s="21">
        <v>1645000</v>
      </c>
      <c r="AE26" s="21">
        <v>1176000</v>
      </c>
      <c r="AF26" s="21">
        <v>989000</v>
      </c>
      <c r="AG26" s="21">
        <v>2042000</v>
      </c>
      <c r="AH26" s="21">
        <v>1635000</v>
      </c>
      <c r="AI26" s="21">
        <v>1544000</v>
      </c>
      <c r="AJ26" s="21">
        <v>1357000</v>
      </c>
    </row>
    <row r="27" spans="1:36" x14ac:dyDescent="0.25">
      <c r="A27" s="5" t="s">
        <v>168</v>
      </c>
      <c r="B27" s="14" t="s">
        <v>163</v>
      </c>
      <c r="C27" s="21">
        <v>623000</v>
      </c>
      <c r="D27" s="21">
        <v>644000</v>
      </c>
      <c r="E27" s="21">
        <v>629000</v>
      </c>
      <c r="F27" s="21">
        <v>595000</v>
      </c>
      <c r="G27" s="21">
        <v>601000</v>
      </c>
      <c r="H27" s="21">
        <v>648000</v>
      </c>
      <c r="I27" s="21">
        <v>705000</v>
      </c>
      <c r="J27" s="21">
        <v>698000</v>
      </c>
      <c r="K27" s="21">
        <v>743000</v>
      </c>
      <c r="L27" s="21">
        <v>946000</v>
      </c>
      <c r="M27" s="21">
        <v>870000</v>
      </c>
      <c r="N27" s="21">
        <v>1030000</v>
      </c>
      <c r="O27" s="21">
        <v>1283000</v>
      </c>
      <c r="P27" s="21">
        <v>1305000</v>
      </c>
      <c r="Q27" s="21">
        <v>1466000</v>
      </c>
      <c r="R27" s="21">
        <v>1604000</v>
      </c>
      <c r="S27" s="21">
        <v>2279000</v>
      </c>
      <c r="T27" s="21">
        <v>2492000</v>
      </c>
      <c r="U27" s="21">
        <v>1679000</v>
      </c>
      <c r="V27" s="21">
        <v>2352000</v>
      </c>
      <c r="W27" s="21">
        <v>2775000</v>
      </c>
      <c r="X27" s="21">
        <v>2503000</v>
      </c>
      <c r="Y27" s="21">
        <v>2688000</v>
      </c>
      <c r="Z27" s="21">
        <v>2496000</v>
      </c>
      <c r="AA27" s="21">
        <v>2074000</v>
      </c>
      <c r="AB27" s="21">
        <v>1573000</v>
      </c>
      <c r="AC27" s="21">
        <v>1738000</v>
      </c>
      <c r="AD27" s="21">
        <v>2092000</v>
      </c>
      <c r="AE27" s="21">
        <v>1785000</v>
      </c>
      <c r="AF27" s="21">
        <v>1402000</v>
      </c>
      <c r="AG27" s="21">
        <v>2210000</v>
      </c>
      <c r="AH27" s="21">
        <v>2359000</v>
      </c>
      <c r="AI27" s="21">
        <v>2128000</v>
      </c>
      <c r="AJ27" s="21">
        <v>2168000</v>
      </c>
    </row>
    <row r="28" spans="1:36" x14ac:dyDescent="0.25">
      <c r="A28" s="5" t="s">
        <v>169</v>
      </c>
      <c r="B28" s="14" t="s">
        <v>163</v>
      </c>
      <c r="C28" s="14" t="s">
        <v>163</v>
      </c>
      <c r="D28" s="21">
        <v>207000</v>
      </c>
      <c r="E28" s="21">
        <v>256000</v>
      </c>
      <c r="F28" s="21">
        <v>449000</v>
      </c>
      <c r="G28" s="21">
        <v>177000</v>
      </c>
      <c r="H28" s="21">
        <v>177000</v>
      </c>
      <c r="I28" s="21">
        <v>220000</v>
      </c>
      <c r="J28" s="21">
        <v>176000</v>
      </c>
      <c r="K28" s="21">
        <v>281000</v>
      </c>
      <c r="L28" s="21">
        <v>201000</v>
      </c>
      <c r="M28" s="21">
        <v>216000</v>
      </c>
      <c r="N28" s="21">
        <v>217000</v>
      </c>
      <c r="O28" s="21">
        <v>245000</v>
      </c>
      <c r="P28" s="21">
        <v>223000</v>
      </c>
      <c r="Q28" s="21">
        <v>275000</v>
      </c>
      <c r="R28" s="21">
        <v>362000</v>
      </c>
      <c r="S28" s="21">
        <v>151000</v>
      </c>
      <c r="T28" s="21">
        <v>177000</v>
      </c>
      <c r="U28" s="21">
        <v>299000</v>
      </c>
      <c r="V28" s="21">
        <v>125000</v>
      </c>
      <c r="W28" s="21">
        <v>114000</v>
      </c>
      <c r="X28" s="21">
        <v>293000</v>
      </c>
      <c r="Y28" s="21">
        <v>576000</v>
      </c>
      <c r="Z28" s="14" t="s">
        <v>163</v>
      </c>
      <c r="AA28" s="14" t="s">
        <v>163</v>
      </c>
      <c r="AB28" s="14" t="s">
        <v>163</v>
      </c>
      <c r="AC28" s="14" t="s">
        <v>163</v>
      </c>
      <c r="AD28" s="14" t="s">
        <v>163</v>
      </c>
      <c r="AE28" s="14" t="s">
        <v>163</v>
      </c>
      <c r="AF28" s="14" t="s">
        <v>163</v>
      </c>
      <c r="AG28" s="14" t="s">
        <v>163</v>
      </c>
      <c r="AH28" s="14" t="s">
        <v>163</v>
      </c>
      <c r="AI28" s="14" t="s">
        <v>163</v>
      </c>
      <c r="AJ28" s="14" t="s">
        <v>163</v>
      </c>
    </row>
    <row r="29" spans="1:36" x14ac:dyDescent="0.25">
      <c r="A29" s="5" t="s">
        <v>170</v>
      </c>
      <c r="B29" s="14" t="s">
        <v>163</v>
      </c>
      <c r="C29" s="14" t="s">
        <v>163</v>
      </c>
      <c r="D29" s="14" t="s">
        <v>163</v>
      </c>
      <c r="E29" s="14" t="s">
        <v>163</v>
      </c>
      <c r="F29" s="14" t="s">
        <v>163</v>
      </c>
      <c r="G29" s="14" t="s">
        <v>163</v>
      </c>
      <c r="H29" s="14" t="s">
        <v>163</v>
      </c>
      <c r="I29" s="14" t="s">
        <v>163</v>
      </c>
      <c r="J29" s="14" t="s">
        <v>163</v>
      </c>
      <c r="K29" s="14" t="s">
        <v>163</v>
      </c>
      <c r="L29" s="14" t="s">
        <v>163</v>
      </c>
      <c r="M29" s="14" t="s">
        <v>163</v>
      </c>
      <c r="N29" s="14" t="s">
        <v>163</v>
      </c>
      <c r="O29" s="14" t="s">
        <v>163</v>
      </c>
      <c r="P29" s="14" t="s">
        <v>163</v>
      </c>
      <c r="Q29" s="14" t="s">
        <v>163</v>
      </c>
      <c r="R29" s="14" t="s">
        <v>163</v>
      </c>
      <c r="S29" s="14" t="s">
        <v>163</v>
      </c>
      <c r="T29" s="14" t="s">
        <v>163</v>
      </c>
      <c r="U29" s="14" t="s">
        <v>163</v>
      </c>
      <c r="V29" s="21">
        <v>7000</v>
      </c>
      <c r="W29" s="21">
        <v>14000</v>
      </c>
      <c r="X29" s="21">
        <v>5000</v>
      </c>
      <c r="Y29" s="21">
        <v>1000</v>
      </c>
      <c r="Z29" s="21">
        <v>1000</v>
      </c>
      <c r="AA29" s="14" t="s">
        <v>163</v>
      </c>
      <c r="AB29" s="14" t="s">
        <v>163</v>
      </c>
      <c r="AC29" s="21">
        <v>6000</v>
      </c>
      <c r="AD29" s="21">
        <v>3000</v>
      </c>
      <c r="AE29" s="21">
        <v>2000</v>
      </c>
      <c r="AF29" s="21">
        <v>3000</v>
      </c>
      <c r="AG29" s="21">
        <v>2000</v>
      </c>
      <c r="AH29" s="21">
        <v>4000</v>
      </c>
      <c r="AI29" s="21">
        <v>8000</v>
      </c>
      <c r="AJ29" s="21">
        <v>11000</v>
      </c>
    </row>
    <row r="30" spans="1:36" x14ac:dyDescent="0.25">
      <c r="A30" s="5" t="s">
        <v>171</v>
      </c>
      <c r="B30" s="14" t="s">
        <v>163</v>
      </c>
      <c r="C30" s="21">
        <v>4000</v>
      </c>
      <c r="D30" s="21">
        <v>1000</v>
      </c>
      <c r="E30" s="21">
        <v>2000</v>
      </c>
      <c r="F30" s="14" t="s">
        <v>163</v>
      </c>
      <c r="G30" s="14" t="s">
        <v>163</v>
      </c>
      <c r="H30" s="14" t="s">
        <v>163</v>
      </c>
      <c r="I30" s="14" t="s">
        <v>163</v>
      </c>
      <c r="J30" s="14" t="s">
        <v>163</v>
      </c>
      <c r="K30" s="14" t="s">
        <v>163</v>
      </c>
      <c r="L30" s="21">
        <v>10000</v>
      </c>
      <c r="M30" s="21">
        <v>10000</v>
      </c>
      <c r="N30" s="21">
        <v>16000</v>
      </c>
      <c r="O30" s="21">
        <v>43000</v>
      </c>
      <c r="P30" s="21">
        <v>16000</v>
      </c>
      <c r="Q30" s="21">
        <v>13000</v>
      </c>
      <c r="R30" s="21">
        <v>9000</v>
      </c>
      <c r="S30" s="21">
        <v>51000</v>
      </c>
      <c r="T30" s="21">
        <v>51000</v>
      </c>
      <c r="U30" s="21">
        <v>38000</v>
      </c>
      <c r="V30" s="21">
        <v>44000</v>
      </c>
      <c r="W30" s="21">
        <v>410000</v>
      </c>
      <c r="X30" s="21">
        <v>35000</v>
      </c>
      <c r="Y30" s="21">
        <v>49000</v>
      </c>
      <c r="Z30" s="21">
        <v>67000</v>
      </c>
      <c r="AA30" s="21">
        <v>29000</v>
      </c>
      <c r="AB30" s="21">
        <v>29000</v>
      </c>
      <c r="AC30" s="21">
        <v>94000</v>
      </c>
      <c r="AD30" s="21">
        <v>90000</v>
      </c>
      <c r="AE30" s="21">
        <v>101000</v>
      </c>
      <c r="AF30" s="21">
        <v>53000</v>
      </c>
      <c r="AG30" s="21">
        <v>376000</v>
      </c>
      <c r="AH30" s="21">
        <v>364000</v>
      </c>
      <c r="AI30" s="21">
        <v>315000</v>
      </c>
      <c r="AJ30" s="21">
        <v>329000</v>
      </c>
    </row>
    <row r="31" spans="1:36" x14ac:dyDescent="0.25">
      <c r="A31" s="5" t="s">
        <v>172</v>
      </c>
      <c r="B31" s="14" t="s">
        <v>163</v>
      </c>
      <c r="C31" s="21">
        <v>1292000</v>
      </c>
      <c r="D31" s="21">
        <v>1321000</v>
      </c>
      <c r="E31" s="21">
        <v>1562000</v>
      </c>
      <c r="F31" s="21">
        <v>1780000</v>
      </c>
      <c r="G31" s="21">
        <v>1444000</v>
      </c>
      <c r="H31" s="21">
        <v>1428000</v>
      </c>
      <c r="I31" s="21">
        <v>1531000</v>
      </c>
      <c r="J31" s="21">
        <v>1275000</v>
      </c>
      <c r="K31" s="21">
        <v>1981000</v>
      </c>
      <c r="L31" s="21">
        <v>2717000</v>
      </c>
      <c r="M31" s="21">
        <v>2073000</v>
      </c>
      <c r="N31" s="21">
        <v>2440000</v>
      </c>
      <c r="O31" s="21">
        <v>3106000</v>
      </c>
      <c r="P31" s="21">
        <v>4351000</v>
      </c>
      <c r="Q31" s="21">
        <v>4842000</v>
      </c>
      <c r="R31" s="21">
        <v>5196000</v>
      </c>
      <c r="S31" s="21">
        <v>4959000</v>
      </c>
      <c r="T31" s="21">
        <v>5732000</v>
      </c>
      <c r="U31" s="21">
        <v>5015000</v>
      </c>
      <c r="V31" s="21">
        <v>5304000</v>
      </c>
      <c r="W31" s="21">
        <v>5774000</v>
      </c>
      <c r="X31" s="21">
        <v>5496000</v>
      </c>
      <c r="Y31" s="21">
        <v>6078000</v>
      </c>
      <c r="Z31" s="21">
        <v>5829000</v>
      </c>
      <c r="AA31" s="21">
        <v>3917000</v>
      </c>
      <c r="AB31" s="21">
        <v>4356000</v>
      </c>
      <c r="AC31" s="21">
        <v>4755000</v>
      </c>
      <c r="AD31" s="21">
        <v>4830000</v>
      </c>
      <c r="AE31" s="21">
        <v>3813000</v>
      </c>
      <c r="AF31" s="21">
        <v>4432000</v>
      </c>
      <c r="AG31" s="21">
        <v>7152000</v>
      </c>
      <c r="AH31" s="21">
        <v>7866000</v>
      </c>
      <c r="AI31" s="21">
        <v>6943000</v>
      </c>
      <c r="AJ31" s="21">
        <v>5232000</v>
      </c>
    </row>
    <row r="32" spans="1:36" x14ac:dyDescent="0.25">
      <c r="A32" s="5" t="s">
        <v>173</v>
      </c>
      <c r="B32" s="14" t="s">
        <v>163</v>
      </c>
      <c r="C32" s="21">
        <v>8656000</v>
      </c>
      <c r="D32" s="21">
        <v>8842000</v>
      </c>
      <c r="E32" s="21">
        <v>8637000</v>
      </c>
      <c r="F32" s="21">
        <v>8490000</v>
      </c>
      <c r="G32" s="21">
        <v>8421000</v>
      </c>
      <c r="H32" s="21">
        <v>8347000</v>
      </c>
      <c r="I32" s="21">
        <v>8295000</v>
      </c>
      <c r="J32" s="21">
        <v>8439000</v>
      </c>
      <c r="K32" s="21">
        <v>8748000</v>
      </c>
      <c r="L32" s="21">
        <v>9270000</v>
      </c>
      <c r="M32" s="21">
        <v>9950000</v>
      </c>
      <c r="N32" s="21">
        <v>10073000</v>
      </c>
      <c r="O32" s="21">
        <v>10371000</v>
      </c>
      <c r="P32" s="21">
        <v>10864000</v>
      </c>
      <c r="Q32" s="21">
        <v>11316000</v>
      </c>
      <c r="R32" s="21">
        <v>12197000</v>
      </c>
      <c r="S32" s="21">
        <v>14788000</v>
      </c>
      <c r="T32" s="21">
        <v>15345000</v>
      </c>
      <c r="U32" s="21">
        <v>16030000</v>
      </c>
      <c r="V32" s="21">
        <v>15890000</v>
      </c>
      <c r="W32" s="21">
        <v>16572000</v>
      </c>
      <c r="X32" s="21">
        <v>16906000</v>
      </c>
      <c r="Y32" s="21">
        <v>16799000</v>
      </c>
      <c r="Z32" s="21">
        <v>15139000</v>
      </c>
      <c r="AA32" s="21">
        <v>14253000</v>
      </c>
      <c r="AB32" s="21">
        <v>14196000</v>
      </c>
      <c r="AC32" s="21">
        <v>15086000</v>
      </c>
      <c r="AD32" s="21">
        <v>16008000</v>
      </c>
      <c r="AE32" s="21">
        <v>17357000</v>
      </c>
      <c r="AF32" s="21">
        <v>18014000</v>
      </c>
      <c r="AG32" s="21">
        <v>19989000</v>
      </c>
      <c r="AH32" s="21">
        <v>21510000</v>
      </c>
      <c r="AI32" s="21">
        <v>24222000</v>
      </c>
      <c r="AJ32" s="21">
        <v>26440000</v>
      </c>
    </row>
    <row r="33" spans="1:36" x14ac:dyDescent="0.25">
      <c r="A33" s="5" t="s">
        <v>174</v>
      </c>
      <c r="B33" s="14" t="s">
        <v>163</v>
      </c>
      <c r="C33" s="21">
        <v>-5859000</v>
      </c>
      <c r="D33" s="21">
        <v>-6033000</v>
      </c>
      <c r="E33" s="21">
        <v>-5984000</v>
      </c>
      <c r="F33" s="21">
        <v>-5954000</v>
      </c>
      <c r="G33" s="21">
        <v>-5909000</v>
      </c>
      <c r="H33" s="21">
        <v>-5796000</v>
      </c>
      <c r="I33" s="21">
        <v>-5799000</v>
      </c>
      <c r="J33" s="21">
        <v>-5939000</v>
      </c>
      <c r="K33" s="21">
        <v>-6232000</v>
      </c>
      <c r="L33" s="21">
        <v>-6531000</v>
      </c>
      <c r="M33" s="21">
        <v>-6866000</v>
      </c>
      <c r="N33" s="21">
        <v>-7095000</v>
      </c>
      <c r="O33" s="21">
        <v>-6957000</v>
      </c>
      <c r="P33" s="21">
        <v>-7237000</v>
      </c>
      <c r="Q33" s="21">
        <v>-7301000</v>
      </c>
      <c r="R33" s="21">
        <v>-7768000</v>
      </c>
      <c r="S33" s="21">
        <v>-8100000</v>
      </c>
      <c r="T33" s="21">
        <v>-8669000</v>
      </c>
      <c r="U33" s="21">
        <v>-9210000</v>
      </c>
      <c r="V33" s="21">
        <v>-9404000</v>
      </c>
      <c r="W33" s="21">
        <v>-9993000</v>
      </c>
      <c r="X33" s="21">
        <v>-10498000</v>
      </c>
      <c r="Y33" s="21">
        <v>-10877000</v>
      </c>
      <c r="Z33" s="21">
        <v>-10565000</v>
      </c>
      <c r="AA33" s="21">
        <v>-9842000</v>
      </c>
      <c r="AB33" s="21">
        <v>-10217000</v>
      </c>
      <c r="AC33" s="21">
        <v>-10806000</v>
      </c>
      <c r="AD33" s="21">
        <v>-11143000</v>
      </c>
      <c r="AE33" s="21">
        <v>-11680000</v>
      </c>
      <c r="AF33" s="21">
        <v>-12356000</v>
      </c>
      <c r="AG33" s="21">
        <v>-12550000</v>
      </c>
      <c r="AH33" s="21">
        <v>-12872000</v>
      </c>
      <c r="AI33" s="21">
        <v>-13720000</v>
      </c>
      <c r="AJ33" s="21">
        <v>-14395000</v>
      </c>
    </row>
    <row r="34" spans="1:36" x14ac:dyDescent="0.25">
      <c r="A34" s="20" t="s">
        <v>175</v>
      </c>
      <c r="B34" s="9" t="s">
        <v>163</v>
      </c>
      <c r="C34" s="30">
        <v>2797000</v>
      </c>
      <c r="D34" s="30">
        <v>2809000</v>
      </c>
      <c r="E34" s="30">
        <v>2653000</v>
      </c>
      <c r="F34" s="30">
        <v>2536000</v>
      </c>
      <c r="G34" s="30">
        <v>2512000</v>
      </c>
      <c r="H34" s="30">
        <v>2551000</v>
      </c>
      <c r="I34" s="30">
        <v>2496000</v>
      </c>
      <c r="J34" s="30">
        <v>2500000</v>
      </c>
      <c r="K34" s="30">
        <v>2516000</v>
      </c>
      <c r="L34" s="30">
        <v>2739000</v>
      </c>
      <c r="M34" s="30">
        <v>3084000</v>
      </c>
      <c r="N34" s="30">
        <v>2978000</v>
      </c>
      <c r="O34" s="30">
        <v>3414000</v>
      </c>
      <c r="P34" s="30">
        <v>3627000</v>
      </c>
      <c r="Q34" s="30">
        <v>4015000</v>
      </c>
      <c r="R34" s="30">
        <v>4429000</v>
      </c>
      <c r="S34" s="30">
        <v>6688000</v>
      </c>
      <c r="T34" s="30">
        <v>6676000</v>
      </c>
      <c r="U34" s="30">
        <v>6820000</v>
      </c>
      <c r="V34" s="30">
        <v>6486000</v>
      </c>
      <c r="W34" s="30">
        <v>6579000</v>
      </c>
      <c r="X34" s="30">
        <v>6408000</v>
      </c>
      <c r="Y34" s="30">
        <v>5922000</v>
      </c>
      <c r="Z34" s="30">
        <v>4574000</v>
      </c>
      <c r="AA34" s="30">
        <v>4411000</v>
      </c>
      <c r="AB34" s="30">
        <v>3979000</v>
      </c>
      <c r="AC34" s="30">
        <v>4280000</v>
      </c>
      <c r="AD34" s="30">
        <v>4865000</v>
      </c>
      <c r="AE34" s="30">
        <v>5677000</v>
      </c>
      <c r="AF34" s="30">
        <v>5658000</v>
      </c>
      <c r="AG34" s="30">
        <v>7439000</v>
      </c>
      <c r="AH34" s="30">
        <v>8638000</v>
      </c>
      <c r="AI34" s="30">
        <v>10502000</v>
      </c>
      <c r="AJ34" s="30">
        <v>12045000</v>
      </c>
    </row>
    <row r="35" spans="1:36" x14ac:dyDescent="0.25">
      <c r="A35" s="5" t="s">
        <v>176</v>
      </c>
      <c r="B35" s="14" t="s">
        <v>163</v>
      </c>
      <c r="C35" s="14" t="s">
        <v>163</v>
      </c>
      <c r="D35" s="21">
        <v>632000</v>
      </c>
      <c r="E35" s="21">
        <v>525000</v>
      </c>
      <c r="F35" s="21">
        <v>463000</v>
      </c>
      <c r="G35" s="21">
        <v>471000</v>
      </c>
      <c r="H35" s="21">
        <v>475000</v>
      </c>
      <c r="I35" s="21">
        <v>551000</v>
      </c>
      <c r="J35" s="21">
        <v>612000</v>
      </c>
      <c r="K35" s="21">
        <v>436000</v>
      </c>
      <c r="L35" s="21">
        <v>392000</v>
      </c>
      <c r="M35" s="21">
        <v>282000</v>
      </c>
      <c r="N35" s="21">
        <v>282000</v>
      </c>
      <c r="O35" s="21">
        <v>248000</v>
      </c>
      <c r="P35" s="21">
        <v>256000</v>
      </c>
      <c r="Q35" s="21">
        <v>250000</v>
      </c>
      <c r="R35" s="21">
        <v>282000</v>
      </c>
      <c r="S35" s="21">
        <v>658000</v>
      </c>
      <c r="T35" s="21">
        <v>677000</v>
      </c>
      <c r="U35" s="21">
        <v>674000</v>
      </c>
      <c r="V35" s="21">
        <v>630000</v>
      </c>
      <c r="W35" s="21">
        <v>643000</v>
      </c>
      <c r="X35" s="21">
        <v>575000</v>
      </c>
      <c r="Y35" s="21">
        <v>563000</v>
      </c>
      <c r="Z35" s="21">
        <v>532000</v>
      </c>
      <c r="AA35" s="21">
        <v>502000</v>
      </c>
      <c r="AB35" s="21">
        <v>499000</v>
      </c>
      <c r="AC35" s="21">
        <v>457000</v>
      </c>
      <c r="AD35" s="21">
        <v>485000</v>
      </c>
      <c r="AE35" s="21">
        <v>1272000</v>
      </c>
      <c r="AF35" s="21">
        <v>1142000</v>
      </c>
      <c r="AG35" s="21">
        <v>663000</v>
      </c>
      <c r="AH35" s="21">
        <v>817000</v>
      </c>
      <c r="AI35" s="21">
        <v>742000</v>
      </c>
      <c r="AJ35" s="21">
        <v>736000</v>
      </c>
    </row>
    <row r="36" spans="1:36" x14ac:dyDescent="0.25">
      <c r="A36" s="5" t="s">
        <v>177</v>
      </c>
      <c r="B36" s="14" t="s">
        <v>163</v>
      </c>
      <c r="C36" s="14" t="s">
        <v>163</v>
      </c>
      <c r="D36" s="14" t="s">
        <v>163</v>
      </c>
      <c r="E36" s="14" t="s">
        <v>163</v>
      </c>
      <c r="F36" s="14" t="s">
        <v>163</v>
      </c>
      <c r="G36" s="14" t="s">
        <v>163</v>
      </c>
      <c r="H36" s="14" t="s">
        <v>163</v>
      </c>
      <c r="I36" s="14" t="s">
        <v>163</v>
      </c>
      <c r="J36" s="14" t="s">
        <v>163</v>
      </c>
      <c r="K36" s="14" t="s">
        <v>163</v>
      </c>
      <c r="L36" s="14" t="s">
        <v>163</v>
      </c>
      <c r="M36" s="14" t="s">
        <v>163</v>
      </c>
      <c r="N36" s="14" t="s">
        <v>163</v>
      </c>
      <c r="O36" s="14" t="s">
        <v>163</v>
      </c>
      <c r="P36" s="14" t="s">
        <v>163</v>
      </c>
      <c r="Q36" s="14" t="s">
        <v>163</v>
      </c>
      <c r="R36" s="14" t="s">
        <v>163</v>
      </c>
      <c r="S36" s="21">
        <v>1712000</v>
      </c>
      <c r="T36" s="21">
        <v>1609000</v>
      </c>
      <c r="U36" s="21">
        <v>1725000</v>
      </c>
      <c r="V36" s="21">
        <v>1760000</v>
      </c>
      <c r="W36" s="21">
        <v>1783000</v>
      </c>
      <c r="X36" s="21">
        <v>1822000</v>
      </c>
      <c r="Y36" s="14" t="s">
        <v>163</v>
      </c>
      <c r="Z36" s="14" t="s">
        <v>163</v>
      </c>
      <c r="AA36" s="14" t="s">
        <v>163</v>
      </c>
      <c r="AB36" s="14" t="s">
        <v>163</v>
      </c>
      <c r="AC36" s="14" t="s">
        <v>163</v>
      </c>
      <c r="AD36" s="14" t="s">
        <v>163</v>
      </c>
      <c r="AE36" s="14" t="s">
        <v>163</v>
      </c>
      <c r="AF36" s="21">
        <v>4000</v>
      </c>
      <c r="AG36" s="21">
        <v>920000</v>
      </c>
      <c r="AH36" s="21">
        <v>920000</v>
      </c>
      <c r="AI36" s="21">
        <v>920000</v>
      </c>
      <c r="AJ36" s="21">
        <v>920000</v>
      </c>
    </row>
    <row r="37" spans="1:36" x14ac:dyDescent="0.25">
      <c r="A37" s="5" t="s">
        <v>178</v>
      </c>
      <c r="B37" s="14" t="s">
        <v>163</v>
      </c>
      <c r="C37" s="14" t="s">
        <v>163</v>
      </c>
      <c r="D37" s="14" t="s">
        <v>163</v>
      </c>
      <c r="E37" s="14" t="s">
        <v>163</v>
      </c>
      <c r="F37" s="14" t="s">
        <v>163</v>
      </c>
      <c r="G37" s="14" t="s">
        <v>163</v>
      </c>
      <c r="H37" s="14" t="s">
        <v>163</v>
      </c>
      <c r="I37" s="14" t="s">
        <v>163</v>
      </c>
      <c r="J37" s="14" t="s">
        <v>163</v>
      </c>
      <c r="K37" s="14" t="s">
        <v>163</v>
      </c>
      <c r="L37" s="14" t="s">
        <v>163</v>
      </c>
      <c r="M37" s="14" t="s">
        <v>163</v>
      </c>
      <c r="N37" s="21">
        <v>414000</v>
      </c>
      <c r="O37" s="21">
        <v>477000</v>
      </c>
      <c r="P37" s="21">
        <v>37000</v>
      </c>
      <c r="Q37" s="21">
        <v>251000</v>
      </c>
      <c r="R37" s="14" t="s">
        <v>163</v>
      </c>
      <c r="S37" s="21">
        <v>419000</v>
      </c>
      <c r="T37" s="21">
        <v>282000</v>
      </c>
      <c r="U37" s="21">
        <v>281000</v>
      </c>
      <c r="V37" s="21">
        <v>275000</v>
      </c>
      <c r="W37" s="21">
        <v>262000</v>
      </c>
      <c r="X37" s="21">
        <v>253000</v>
      </c>
      <c r="Y37" s="21">
        <v>271000</v>
      </c>
      <c r="Z37" s="21">
        <v>204000</v>
      </c>
      <c r="AA37" s="21">
        <v>196000</v>
      </c>
      <c r="AB37" s="21">
        <v>175000</v>
      </c>
      <c r="AC37" s="21">
        <v>167000</v>
      </c>
      <c r="AD37" s="21">
        <v>158000</v>
      </c>
      <c r="AE37" s="21">
        <v>150000</v>
      </c>
      <c r="AF37" s="21">
        <v>129000</v>
      </c>
      <c r="AG37" s="21">
        <v>519000</v>
      </c>
      <c r="AH37" s="21">
        <v>478000</v>
      </c>
      <c r="AI37" s="21">
        <v>436000</v>
      </c>
      <c r="AJ37" s="21">
        <v>416000</v>
      </c>
    </row>
    <row r="38" spans="1:36" x14ac:dyDescent="0.25">
      <c r="A38" s="5" t="s">
        <v>179</v>
      </c>
      <c r="B38" s="14" t="s">
        <v>163</v>
      </c>
      <c r="C38" s="21">
        <v>732000</v>
      </c>
      <c r="D38" s="21">
        <v>92000</v>
      </c>
      <c r="E38" s="21">
        <v>90000</v>
      </c>
      <c r="F38" s="21">
        <v>85000</v>
      </c>
      <c r="G38" s="21">
        <v>39000</v>
      </c>
      <c r="H38" s="21">
        <v>30000</v>
      </c>
      <c r="I38" s="21">
        <v>22000</v>
      </c>
      <c r="J38" s="21">
        <v>10000</v>
      </c>
      <c r="K38" s="14" t="s">
        <v>163</v>
      </c>
      <c r="L38" s="14" t="s">
        <v>163</v>
      </c>
      <c r="M38" s="14" t="s">
        <v>163</v>
      </c>
      <c r="N38" s="14" t="s">
        <v>163</v>
      </c>
      <c r="O38" s="14" t="s">
        <v>163</v>
      </c>
      <c r="P38" s="14" t="s">
        <v>163</v>
      </c>
      <c r="Q38" s="14" t="s">
        <v>163</v>
      </c>
      <c r="R38" s="14" t="s">
        <v>163</v>
      </c>
      <c r="S38" s="14" t="s">
        <v>163</v>
      </c>
      <c r="T38" s="14" t="s">
        <v>163</v>
      </c>
      <c r="U38" s="14" t="s">
        <v>163</v>
      </c>
      <c r="V38" s="14" t="s">
        <v>163</v>
      </c>
      <c r="W38" s="14" t="s">
        <v>163</v>
      </c>
      <c r="X38" s="14" t="s">
        <v>163</v>
      </c>
      <c r="Y38" s="14" t="s">
        <v>163</v>
      </c>
      <c r="Z38" s="21">
        <v>362000</v>
      </c>
      <c r="AA38" s="14" t="s">
        <v>163</v>
      </c>
      <c r="AB38" s="14" t="s">
        <v>163</v>
      </c>
      <c r="AC38" s="14" t="s">
        <v>163</v>
      </c>
      <c r="AD38" s="14" t="s">
        <v>163</v>
      </c>
      <c r="AE38" s="14" t="s">
        <v>163</v>
      </c>
      <c r="AF38" s="14" t="s">
        <v>163</v>
      </c>
      <c r="AG38" s="14" t="s">
        <v>163</v>
      </c>
      <c r="AH38" s="14" t="s">
        <v>163</v>
      </c>
      <c r="AI38" s="14" t="s">
        <v>163</v>
      </c>
      <c r="AJ38" s="14" t="s">
        <v>163</v>
      </c>
    </row>
    <row r="39" spans="1:36" x14ac:dyDescent="0.25">
      <c r="A39" s="5" t="s">
        <v>180</v>
      </c>
      <c r="B39" s="14" t="s">
        <v>163</v>
      </c>
      <c r="C39" s="14" t="s">
        <v>163</v>
      </c>
      <c r="D39" s="14" t="s">
        <v>163</v>
      </c>
      <c r="E39" s="14" t="s">
        <v>163</v>
      </c>
      <c r="F39" s="14" t="s">
        <v>163</v>
      </c>
      <c r="G39" s="14" t="s">
        <v>163</v>
      </c>
      <c r="H39" s="14" t="s">
        <v>163</v>
      </c>
      <c r="I39" s="14" t="s">
        <v>163</v>
      </c>
      <c r="J39" s="14" t="s">
        <v>163</v>
      </c>
      <c r="K39" s="14" t="s">
        <v>163</v>
      </c>
      <c r="L39" s="14" t="s">
        <v>163</v>
      </c>
      <c r="M39" s="21">
        <v>17000</v>
      </c>
      <c r="N39" s="21">
        <v>19000</v>
      </c>
      <c r="O39" s="14" t="s">
        <v>163</v>
      </c>
      <c r="P39" s="14" t="s">
        <v>163</v>
      </c>
      <c r="Q39" s="14" t="s">
        <v>163</v>
      </c>
      <c r="R39" s="14" t="s">
        <v>163</v>
      </c>
      <c r="S39" s="14" t="s">
        <v>163</v>
      </c>
      <c r="T39" s="14" t="s">
        <v>163</v>
      </c>
      <c r="U39" s="14" t="s">
        <v>163</v>
      </c>
      <c r="V39" s="14" t="s">
        <v>163</v>
      </c>
      <c r="W39" s="14" t="s">
        <v>163</v>
      </c>
      <c r="X39" s="14" t="s">
        <v>163</v>
      </c>
      <c r="Y39" s="14" t="s">
        <v>163</v>
      </c>
      <c r="Z39" s="14" t="s">
        <v>163</v>
      </c>
      <c r="AA39" s="14" t="s">
        <v>163</v>
      </c>
      <c r="AB39" s="14" t="s">
        <v>163</v>
      </c>
      <c r="AC39" s="14" t="s">
        <v>163</v>
      </c>
      <c r="AD39" s="14" t="s">
        <v>163</v>
      </c>
      <c r="AE39" s="14" t="s">
        <v>163</v>
      </c>
      <c r="AF39" s="14" t="s">
        <v>163</v>
      </c>
      <c r="AG39" s="14" t="s">
        <v>163</v>
      </c>
      <c r="AH39" s="14" t="s">
        <v>163</v>
      </c>
      <c r="AI39" s="14" t="s">
        <v>163</v>
      </c>
      <c r="AJ39" s="14" t="s">
        <v>163</v>
      </c>
    </row>
    <row r="40" spans="1:36" x14ac:dyDescent="0.25">
      <c r="A40" s="5" t="s">
        <v>181</v>
      </c>
      <c r="B40" s="14" t="s">
        <v>163</v>
      </c>
      <c r="C40" s="21">
        <v>123000</v>
      </c>
      <c r="D40" s="21">
        <v>507000</v>
      </c>
      <c r="E40" s="21">
        <v>551000</v>
      </c>
      <c r="F40" s="21">
        <v>223000</v>
      </c>
      <c r="G40" s="21">
        <v>362000</v>
      </c>
      <c r="H40" s="21">
        <v>217000</v>
      </c>
      <c r="I40" s="21">
        <v>19000</v>
      </c>
      <c r="J40" s="14" t="s">
        <v>163</v>
      </c>
      <c r="K40" s="14" t="s">
        <v>163</v>
      </c>
      <c r="L40" s="14" t="s">
        <v>163</v>
      </c>
      <c r="M40" s="14" t="s">
        <v>163</v>
      </c>
      <c r="N40" s="14" t="s">
        <v>163</v>
      </c>
      <c r="O40" s="21">
        <v>365000</v>
      </c>
      <c r="P40" s="21">
        <v>40000</v>
      </c>
      <c r="Q40" s="21">
        <v>211000</v>
      </c>
      <c r="R40" s="21">
        <v>103000</v>
      </c>
      <c r="S40" s="21">
        <v>16000</v>
      </c>
      <c r="T40" s="21">
        <v>666000</v>
      </c>
      <c r="U40" s="21">
        <v>535000</v>
      </c>
      <c r="V40" s="21">
        <v>515000</v>
      </c>
      <c r="W40" s="21">
        <v>649000</v>
      </c>
      <c r="X40" s="21">
        <v>302000</v>
      </c>
      <c r="Y40" s="21">
        <v>16000</v>
      </c>
      <c r="Z40" s="21">
        <v>347000</v>
      </c>
      <c r="AA40" s="21">
        <v>15000</v>
      </c>
      <c r="AB40" s="21">
        <v>6000</v>
      </c>
      <c r="AC40" s="21">
        <v>56000</v>
      </c>
      <c r="AD40" s="21">
        <v>445000</v>
      </c>
      <c r="AE40" s="21">
        <v>19000</v>
      </c>
      <c r="AF40" s="21">
        <v>22000</v>
      </c>
      <c r="AG40" s="21">
        <v>32000</v>
      </c>
      <c r="AH40" s="21">
        <v>10000</v>
      </c>
      <c r="AI40" s="21">
        <v>19000</v>
      </c>
      <c r="AJ40" s="14" t="s">
        <v>163</v>
      </c>
    </row>
    <row r="41" spans="1:36" x14ac:dyDescent="0.25">
      <c r="A41" s="5" t="s">
        <v>182</v>
      </c>
      <c r="B41" s="14" t="s">
        <v>163</v>
      </c>
      <c r="C41" s="21">
        <v>683000</v>
      </c>
      <c r="D41" s="21">
        <v>890000</v>
      </c>
      <c r="E41" s="21">
        <v>1248000</v>
      </c>
      <c r="F41" s="21">
        <v>1393000</v>
      </c>
      <c r="G41" s="21">
        <v>1693000</v>
      </c>
      <c r="H41" s="21">
        <v>1879000</v>
      </c>
      <c r="I41" s="21">
        <v>2075000</v>
      </c>
      <c r="J41" s="21">
        <v>2352000</v>
      </c>
      <c r="K41" s="21">
        <v>2592000</v>
      </c>
      <c r="L41" s="21">
        <v>2863000</v>
      </c>
      <c r="M41" s="21">
        <v>2881000</v>
      </c>
      <c r="N41" s="21">
        <v>1844000</v>
      </c>
      <c r="O41" s="21">
        <v>227000</v>
      </c>
      <c r="P41" s="21">
        <v>2753000</v>
      </c>
      <c r="Q41" s="21">
        <v>253000</v>
      </c>
      <c r="R41" s="21">
        <v>576000</v>
      </c>
      <c r="S41" s="21">
        <v>1180000</v>
      </c>
      <c r="T41" s="21">
        <v>445000</v>
      </c>
      <c r="U41" s="21">
        <v>372000</v>
      </c>
      <c r="V41" s="21">
        <v>380000</v>
      </c>
      <c r="W41" s="21">
        <v>383000</v>
      </c>
      <c r="X41" s="21">
        <v>361000</v>
      </c>
      <c r="Y41" s="21">
        <v>293000</v>
      </c>
      <c r="Z41" s="21">
        <v>165000</v>
      </c>
      <c r="AA41" s="21">
        <v>126000</v>
      </c>
      <c r="AB41" s="21">
        <v>145000</v>
      </c>
      <c r="AC41" s="21">
        <v>147000</v>
      </c>
      <c r="AD41" s="21">
        <v>199000</v>
      </c>
      <c r="AE41" s="21">
        <v>677000</v>
      </c>
      <c r="AF41" s="21">
        <v>672000</v>
      </c>
      <c r="AG41" s="21">
        <v>1091000</v>
      </c>
      <c r="AH41" s="21">
        <v>729000</v>
      </c>
      <c r="AI41" s="21">
        <v>889000</v>
      </c>
      <c r="AJ41" s="21">
        <v>886000</v>
      </c>
    </row>
    <row r="42" spans="1:36" x14ac:dyDescent="0.25">
      <c r="A42" s="5" t="s">
        <v>183</v>
      </c>
      <c r="B42" s="14" t="s">
        <v>163</v>
      </c>
      <c r="C42" s="21">
        <v>5627000</v>
      </c>
      <c r="D42" s="21">
        <v>6251000</v>
      </c>
      <c r="E42" s="21">
        <v>6629000</v>
      </c>
      <c r="F42" s="21">
        <v>6480000</v>
      </c>
      <c r="G42" s="21">
        <v>6521000</v>
      </c>
      <c r="H42" s="21">
        <v>6580000</v>
      </c>
      <c r="I42" s="21">
        <v>6694000</v>
      </c>
      <c r="J42" s="21">
        <v>6749000</v>
      </c>
      <c r="K42" s="21">
        <v>7525000</v>
      </c>
      <c r="L42" s="21">
        <v>8711000</v>
      </c>
      <c r="M42" s="21">
        <v>8337000</v>
      </c>
      <c r="N42" s="21">
        <v>7977000</v>
      </c>
      <c r="O42" s="21">
        <v>7837000</v>
      </c>
      <c r="P42" s="21">
        <v>11064000</v>
      </c>
      <c r="Q42" s="21">
        <v>9822000</v>
      </c>
      <c r="R42" s="21">
        <v>10586000</v>
      </c>
      <c r="S42" s="21">
        <v>15632000</v>
      </c>
      <c r="T42" s="21">
        <v>16087000</v>
      </c>
      <c r="U42" s="21">
        <v>15422000</v>
      </c>
      <c r="V42" s="21">
        <v>15350000</v>
      </c>
      <c r="W42" s="21">
        <v>16073000</v>
      </c>
      <c r="X42" s="21">
        <v>15217000</v>
      </c>
      <c r="Y42" s="21">
        <v>13143000</v>
      </c>
      <c r="Z42" s="21">
        <v>12013000</v>
      </c>
      <c r="AA42" s="21">
        <v>9167000</v>
      </c>
      <c r="AB42" s="21">
        <v>9160000</v>
      </c>
      <c r="AC42" s="21">
        <v>9862000</v>
      </c>
      <c r="AD42" s="21">
        <v>10982000</v>
      </c>
      <c r="AE42" s="21">
        <v>11608000</v>
      </c>
      <c r="AF42" s="21">
        <v>12059000</v>
      </c>
      <c r="AG42" s="21">
        <v>17816000</v>
      </c>
      <c r="AH42" s="21">
        <v>19458000</v>
      </c>
      <c r="AI42" s="21">
        <v>20451000</v>
      </c>
      <c r="AJ42" s="21">
        <v>20235000</v>
      </c>
    </row>
    <row r="43" spans="1:36" x14ac:dyDescent="0.25">
      <c r="A43" s="20" t="s">
        <v>184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spans="1:36" x14ac:dyDescent="0.25">
      <c r="A44" s="5" t="s">
        <v>185</v>
      </c>
      <c r="B44" s="14" t="s">
        <v>163</v>
      </c>
      <c r="C44" s="21">
        <v>653000</v>
      </c>
      <c r="D44" s="21">
        <v>579000</v>
      </c>
      <c r="E44" s="21">
        <v>1048000</v>
      </c>
      <c r="F44" s="21">
        <v>678000</v>
      </c>
      <c r="G44" s="21">
        <v>826000</v>
      </c>
      <c r="H44" s="21">
        <v>667000</v>
      </c>
      <c r="I44" s="21">
        <v>687000</v>
      </c>
      <c r="J44" s="21">
        <v>501000</v>
      </c>
      <c r="K44" s="21">
        <v>757000</v>
      </c>
      <c r="L44" s="21">
        <v>760000</v>
      </c>
      <c r="M44" s="21">
        <v>694000</v>
      </c>
      <c r="N44" s="21">
        <v>767000</v>
      </c>
      <c r="O44" s="21">
        <v>1020000</v>
      </c>
      <c r="P44" s="21">
        <v>1305000</v>
      </c>
      <c r="Q44" s="21">
        <v>1323000</v>
      </c>
      <c r="R44" s="21">
        <v>1320000</v>
      </c>
      <c r="S44" s="21">
        <v>1721000</v>
      </c>
      <c r="T44" s="21">
        <v>1440000</v>
      </c>
      <c r="U44" s="21">
        <v>1396000</v>
      </c>
      <c r="V44" s="21">
        <v>1738000</v>
      </c>
      <c r="W44" s="21">
        <v>1959000</v>
      </c>
      <c r="X44" s="21">
        <v>1692000</v>
      </c>
      <c r="Y44" s="21">
        <v>1643000</v>
      </c>
      <c r="Z44" s="21">
        <v>1898000</v>
      </c>
      <c r="AA44" s="21">
        <v>1321000</v>
      </c>
      <c r="AB44" s="21">
        <v>1532000</v>
      </c>
      <c r="AC44" s="21">
        <v>2084000</v>
      </c>
      <c r="AD44" s="21">
        <v>2386000</v>
      </c>
      <c r="AE44" s="21">
        <v>1855000</v>
      </c>
      <c r="AF44" s="21">
        <v>1665000</v>
      </c>
      <c r="AG44" s="21">
        <v>2650000</v>
      </c>
      <c r="AH44" s="21">
        <v>2772000</v>
      </c>
      <c r="AI44" s="21">
        <v>2697000</v>
      </c>
      <c r="AJ44" s="21">
        <v>2506000</v>
      </c>
    </row>
    <row r="45" spans="1:36" x14ac:dyDescent="0.25">
      <c r="A45" s="5" t="s">
        <v>186</v>
      </c>
      <c r="B45" s="14" t="s">
        <v>163</v>
      </c>
      <c r="C45" s="21">
        <v>207000</v>
      </c>
      <c r="D45" s="21">
        <v>377000</v>
      </c>
      <c r="E45" s="21">
        <v>382000</v>
      </c>
      <c r="F45" s="21">
        <v>385000</v>
      </c>
      <c r="G45" s="21">
        <v>412000</v>
      </c>
      <c r="H45" s="21">
        <v>387000</v>
      </c>
      <c r="I45" s="21">
        <v>390000</v>
      </c>
      <c r="J45" s="21">
        <v>340000</v>
      </c>
      <c r="K45" s="21">
        <v>337000</v>
      </c>
      <c r="L45" s="21">
        <v>249000</v>
      </c>
      <c r="M45" s="21">
        <v>284000</v>
      </c>
      <c r="N45" s="21">
        <v>298000</v>
      </c>
      <c r="O45" s="21">
        <v>699000</v>
      </c>
      <c r="P45" s="21">
        <v>892000</v>
      </c>
      <c r="Q45" s="21">
        <v>990000</v>
      </c>
      <c r="R45" s="21">
        <v>1116000</v>
      </c>
      <c r="S45" s="21">
        <v>1074000</v>
      </c>
      <c r="T45" s="21">
        <v>1042000</v>
      </c>
      <c r="U45" s="21">
        <v>944000</v>
      </c>
      <c r="V45" s="21">
        <v>981000</v>
      </c>
      <c r="W45" s="21">
        <v>1064000</v>
      </c>
      <c r="X45" s="21">
        <v>1048000</v>
      </c>
      <c r="Y45" s="21">
        <v>1045000</v>
      </c>
      <c r="Z45" s="21">
        <v>1074000</v>
      </c>
      <c r="AA45" s="21">
        <v>525000</v>
      </c>
      <c r="AB45" s="21">
        <v>504000</v>
      </c>
      <c r="AC45" s="21">
        <v>445000</v>
      </c>
      <c r="AD45" s="21">
        <v>516000</v>
      </c>
      <c r="AE45" s="21">
        <v>434000</v>
      </c>
      <c r="AF45" s="21">
        <v>410000</v>
      </c>
      <c r="AG45" s="21">
        <v>558000</v>
      </c>
      <c r="AH45" s="21">
        <v>592000</v>
      </c>
      <c r="AI45" s="21">
        <v>539000</v>
      </c>
      <c r="AJ45" s="21">
        <v>391000</v>
      </c>
    </row>
    <row r="46" spans="1:36" x14ac:dyDescent="0.25">
      <c r="A46" s="5" t="s">
        <v>187</v>
      </c>
      <c r="B46" s="14" t="s">
        <v>163</v>
      </c>
      <c r="C46" s="21">
        <v>23000</v>
      </c>
      <c r="D46" s="21">
        <v>15000</v>
      </c>
      <c r="E46" s="14" t="s">
        <v>163</v>
      </c>
      <c r="F46" s="14" t="s">
        <v>163</v>
      </c>
      <c r="G46" s="21">
        <v>8000</v>
      </c>
      <c r="H46" s="21">
        <v>18000</v>
      </c>
      <c r="I46" s="21">
        <v>13000</v>
      </c>
      <c r="J46" s="21">
        <v>13000</v>
      </c>
      <c r="K46" s="14" t="s">
        <v>163</v>
      </c>
      <c r="L46" s="21">
        <v>70000</v>
      </c>
      <c r="M46" s="14" t="s">
        <v>163</v>
      </c>
      <c r="N46" s="14" t="s">
        <v>163</v>
      </c>
      <c r="O46" s="14" t="s">
        <v>163</v>
      </c>
      <c r="P46" s="14" t="s">
        <v>163</v>
      </c>
      <c r="Q46" s="14" t="s">
        <v>163</v>
      </c>
      <c r="R46" s="14" t="s">
        <v>163</v>
      </c>
      <c r="S46" s="14" t="s">
        <v>163</v>
      </c>
      <c r="T46" s="14" t="s">
        <v>163</v>
      </c>
      <c r="U46" s="14" t="s">
        <v>163</v>
      </c>
      <c r="V46" s="14" t="s">
        <v>163</v>
      </c>
      <c r="W46" s="21">
        <v>380000</v>
      </c>
      <c r="X46" s="14" t="s">
        <v>163</v>
      </c>
      <c r="Y46" s="14" t="s">
        <v>163</v>
      </c>
      <c r="Z46" s="14" t="s">
        <v>163</v>
      </c>
      <c r="AA46" s="14" t="s">
        <v>163</v>
      </c>
      <c r="AB46" s="14" t="s">
        <v>163</v>
      </c>
      <c r="AC46" s="14" t="s">
        <v>163</v>
      </c>
      <c r="AD46" s="14" t="s">
        <v>163</v>
      </c>
      <c r="AE46" s="14" t="s">
        <v>163</v>
      </c>
      <c r="AF46" s="14" t="s">
        <v>163</v>
      </c>
      <c r="AG46" s="14" t="s">
        <v>163</v>
      </c>
      <c r="AH46" s="14" t="s">
        <v>163</v>
      </c>
      <c r="AI46" s="14" t="s">
        <v>163</v>
      </c>
      <c r="AJ46" s="14" t="s">
        <v>163</v>
      </c>
    </row>
    <row r="47" spans="1:36" x14ac:dyDescent="0.25">
      <c r="A47" s="5" t="s">
        <v>188</v>
      </c>
      <c r="B47" s="14" t="s">
        <v>163</v>
      </c>
      <c r="C47" s="21">
        <v>171000</v>
      </c>
      <c r="D47" s="21">
        <v>127000</v>
      </c>
      <c r="E47" s="21">
        <v>11000</v>
      </c>
      <c r="F47" s="21">
        <v>21000</v>
      </c>
      <c r="G47" s="21">
        <v>93000</v>
      </c>
      <c r="H47" s="21">
        <v>73000</v>
      </c>
      <c r="I47" s="21">
        <v>54000</v>
      </c>
      <c r="J47" s="21">
        <v>12000</v>
      </c>
      <c r="K47" s="21">
        <v>13000</v>
      </c>
      <c r="L47" s="21">
        <v>139000</v>
      </c>
      <c r="M47" s="21">
        <v>32000</v>
      </c>
      <c r="N47" s="21">
        <v>26000</v>
      </c>
      <c r="O47" s="21">
        <v>43000</v>
      </c>
      <c r="P47" s="21">
        <v>8000</v>
      </c>
      <c r="Q47" s="21">
        <v>249000</v>
      </c>
      <c r="R47" s="21">
        <v>82000</v>
      </c>
      <c r="S47" s="21">
        <v>110000</v>
      </c>
      <c r="T47" s="21">
        <v>81000</v>
      </c>
      <c r="U47" s="21">
        <v>19000</v>
      </c>
      <c r="V47" s="21">
        <v>216000</v>
      </c>
      <c r="W47" s="21">
        <v>20000</v>
      </c>
      <c r="X47" s="21">
        <v>2000</v>
      </c>
      <c r="Y47" s="21">
        <v>323000</v>
      </c>
      <c r="Z47" s="21">
        <v>378000</v>
      </c>
      <c r="AA47" s="21">
        <v>45000</v>
      </c>
      <c r="AB47" s="21">
        <v>50000</v>
      </c>
      <c r="AC47" s="21">
        <v>3000</v>
      </c>
      <c r="AD47" s="21">
        <v>65000</v>
      </c>
      <c r="AE47" s="21">
        <v>3000</v>
      </c>
      <c r="AF47" s="21">
        <v>176000</v>
      </c>
      <c r="AG47" s="21">
        <v>12000</v>
      </c>
      <c r="AH47" s="21">
        <v>38000</v>
      </c>
      <c r="AI47" s="21">
        <v>99000</v>
      </c>
      <c r="AJ47" s="21">
        <v>37000</v>
      </c>
    </row>
    <row r="48" spans="1:36" x14ac:dyDescent="0.25">
      <c r="A48" s="5" t="s">
        <v>189</v>
      </c>
      <c r="B48" s="14" t="s">
        <v>163</v>
      </c>
      <c r="C48" s="14" t="s">
        <v>163</v>
      </c>
      <c r="D48" s="14" t="s">
        <v>163</v>
      </c>
      <c r="E48" s="14" t="s">
        <v>163</v>
      </c>
      <c r="F48" s="14" t="s">
        <v>163</v>
      </c>
      <c r="G48" s="14" t="s">
        <v>163</v>
      </c>
      <c r="H48" s="14" t="s">
        <v>163</v>
      </c>
      <c r="I48" s="14" t="s">
        <v>163</v>
      </c>
      <c r="J48" s="14" t="s">
        <v>163</v>
      </c>
      <c r="K48" s="14" t="s">
        <v>163</v>
      </c>
      <c r="L48" s="14" t="s">
        <v>163</v>
      </c>
      <c r="M48" s="14" t="s">
        <v>163</v>
      </c>
      <c r="N48" s="14" t="s">
        <v>163</v>
      </c>
      <c r="O48" s="14" t="s">
        <v>163</v>
      </c>
      <c r="P48" s="14" t="s">
        <v>163</v>
      </c>
      <c r="Q48" s="14" t="s">
        <v>163</v>
      </c>
      <c r="R48" s="14" t="s">
        <v>163</v>
      </c>
      <c r="S48" s="14" t="s">
        <v>163</v>
      </c>
      <c r="T48" s="14" t="s">
        <v>163</v>
      </c>
      <c r="U48" s="14" t="s">
        <v>163</v>
      </c>
      <c r="V48" s="14" t="s">
        <v>163</v>
      </c>
      <c r="W48" s="14" t="s">
        <v>163</v>
      </c>
      <c r="X48" s="14" t="s">
        <v>163</v>
      </c>
      <c r="Y48" s="14" t="s">
        <v>163</v>
      </c>
      <c r="Z48" s="14" t="s">
        <v>163</v>
      </c>
      <c r="AA48" s="14" t="s">
        <v>163</v>
      </c>
      <c r="AB48" s="14" t="s">
        <v>163</v>
      </c>
      <c r="AC48" s="14" t="s">
        <v>163</v>
      </c>
      <c r="AD48" s="14" t="s">
        <v>163</v>
      </c>
      <c r="AE48" s="21">
        <v>71000</v>
      </c>
      <c r="AF48" s="21">
        <v>75000</v>
      </c>
      <c r="AG48" s="21">
        <v>74000</v>
      </c>
      <c r="AH48" s="21">
        <v>74000</v>
      </c>
      <c r="AI48" s="21">
        <v>87000</v>
      </c>
      <c r="AJ48" s="21">
        <v>93000</v>
      </c>
    </row>
    <row r="49" spans="1:36" x14ac:dyDescent="0.25">
      <c r="A49" s="5" t="s">
        <v>190</v>
      </c>
      <c r="B49" s="14" t="s">
        <v>163</v>
      </c>
      <c r="C49" s="21">
        <v>139000</v>
      </c>
      <c r="D49" s="21">
        <v>165000</v>
      </c>
      <c r="E49" s="21">
        <v>182000</v>
      </c>
      <c r="F49" s="21">
        <v>183000</v>
      </c>
      <c r="G49" s="21">
        <v>180000</v>
      </c>
      <c r="H49" s="21">
        <v>154000</v>
      </c>
      <c r="I49" s="21">
        <v>190000</v>
      </c>
      <c r="J49" s="21">
        <v>150000</v>
      </c>
      <c r="K49" s="21">
        <v>177000</v>
      </c>
      <c r="L49" s="21">
        <v>173000</v>
      </c>
      <c r="M49" s="21">
        <v>248000</v>
      </c>
      <c r="N49" s="21">
        <v>281000</v>
      </c>
      <c r="O49" s="21">
        <v>360000</v>
      </c>
      <c r="P49" s="21">
        <v>320000</v>
      </c>
      <c r="Q49" s="21">
        <v>186000</v>
      </c>
      <c r="R49" s="21">
        <v>182000</v>
      </c>
      <c r="S49" s="21">
        <v>95000</v>
      </c>
      <c r="T49" s="21">
        <v>203000</v>
      </c>
      <c r="U49" s="21">
        <v>89000</v>
      </c>
      <c r="V49" s="21">
        <v>116000</v>
      </c>
      <c r="W49" s="21">
        <v>118000</v>
      </c>
      <c r="X49" s="21">
        <v>146000</v>
      </c>
      <c r="Y49" s="21">
        <v>140000</v>
      </c>
      <c r="Z49" s="21">
        <v>134000</v>
      </c>
      <c r="AA49" s="21">
        <v>99000</v>
      </c>
      <c r="AB49" s="21">
        <v>128000</v>
      </c>
      <c r="AC49" s="21">
        <v>132000</v>
      </c>
      <c r="AD49" s="21">
        <v>118000</v>
      </c>
      <c r="AE49" s="21">
        <v>116000</v>
      </c>
      <c r="AF49" s="21">
        <v>154000</v>
      </c>
      <c r="AG49" s="21">
        <v>365000</v>
      </c>
      <c r="AH49" s="21">
        <v>271000</v>
      </c>
      <c r="AI49" s="21">
        <v>222000</v>
      </c>
      <c r="AJ49" s="21">
        <v>131000</v>
      </c>
    </row>
    <row r="50" spans="1:36" x14ac:dyDescent="0.25">
      <c r="A50" s="5" t="s">
        <v>191</v>
      </c>
      <c r="B50" s="14" t="s">
        <v>163</v>
      </c>
      <c r="C50" s="14" t="s">
        <v>163</v>
      </c>
      <c r="D50" s="14" t="s">
        <v>163</v>
      </c>
      <c r="E50" s="14" t="s">
        <v>163</v>
      </c>
      <c r="F50" s="14" t="s">
        <v>163</v>
      </c>
      <c r="G50" s="14" t="s">
        <v>163</v>
      </c>
      <c r="H50" s="14" t="s">
        <v>163</v>
      </c>
      <c r="I50" s="14" t="s">
        <v>163</v>
      </c>
      <c r="J50" s="14" t="s">
        <v>163</v>
      </c>
      <c r="K50" s="14" t="s">
        <v>163</v>
      </c>
      <c r="L50" s="14" t="s">
        <v>163</v>
      </c>
      <c r="M50" s="14" t="s">
        <v>163</v>
      </c>
      <c r="N50" s="14" t="s">
        <v>163</v>
      </c>
      <c r="O50" s="14" t="s">
        <v>163</v>
      </c>
      <c r="P50" s="21">
        <v>8000</v>
      </c>
      <c r="Q50" s="14" t="s">
        <v>163</v>
      </c>
      <c r="R50" s="14" t="s">
        <v>163</v>
      </c>
      <c r="S50" s="14" t="s">
        <v>163</v>
      </c>
      <c r="T50" s="14" t="s">
        <v>163</v>
      </c>
      <c r="U50" s="14" t="s">
        <v>163</v>
      </c>
      <c r="V50" s="14" t="s">
        <v>163</v>
      </c>
      <c r="W50" s="14" t="s">
        <v>163</v>
      </c>
      <c r="X50" s="14" t="s">
        <v>163</v>
      </c>
      <c r="Y50" s="14" t="s">
        <v>163</v>
      </c>
      <c r="Z50" s="14" t="s">
        <v>163</v>
      </c>
      <c r="AA50" s="14" t="s">
        <v>163</v>
      </c>
      <c r="AB50" s="14" t="s">
        <v>163</v>
      </c>
      <c r="AC50" s="14" t="s">
        <v>163</v>
      </c>
      <c r="AD50" s="14" t="s">
        <v>163</v>
      </c>
      <c r="AE50" s="14" t="s">
        <v>163</v>
      </c>
      <c r="AF50" s="14" t="s">
        <v>163</v>
      </c>
      <c r="AG50" s="14" t="s">
        <v>163</v>
      </c>
      <c r="AH50" s="14" t="s">
        <v>163</v>
      </c>
      <c r="AI50" s="14" t="s">
        <v>163</v>
      </c>
      <c r="AJ50" s="14" t="s">
        <v>163</v>
      </c>
    </row>
    <row r="51" spans="1:36" x14ac:dyDescent="0.25">
      <c r="A51" s="5" t="s">
        <v>192</v>
      </c>
      <c r="B51" s="14" t="s">
        <v>163</v>
      </c>
      <c r="C51" s="14" t="s">
        <v>163</v>
      </c>
      <c r="D51" s="14" t="s">
        <v>163</v>
      </c>
      <c r="E51" s="14" t="s">
        <v>163</v>
      </c>
      <c r="F51" s="14" t="s">
        <v>163</v>
      </c>
      <c r="G51" s="14" t="s">
        <v>163</v>
      </c>
      <c r="H51" s="14" t="s">
        <v>163</v>
      </c>
      <c r="I51" s="14" t="s">
        <v>163</v>
      </c>
      <c r="J51" s="14" t="s">
        <v>163</v>
      </c>
      <c r="K51" s="14" t="s">
        <v>163</v>
      </c>
      <c r="L51" s="14" t="s">
        <v>163</v>
      </c>
      <c r="M51" s="14" t="s">
        <v>163</v>
      </c>
      <c r="N51" s="14" t="s">
        <v>163</v>
      </c>
      <c r="O51" s="21">
        <v>5000</v>
      </c>
      <c r="P51" s="21">
        <v>2000</v>
      </c>
      <c r="Q51" s="21">
        <v>1000</v>
      </c>
      <c r="R51" s="21">
        <v>2000</v>
      </c>
      <c r="S51" s="21">
        <v>3000</v>
      </c>
      <c r="T51" s="21">
        <v>12000</v>
      </c>
      <c r="U51" s="21">
        <v>26000</v>
      </c>
      <c r="V51" s="21">
        <v>96000</v>
      </c>
      <c r="W51" s="21">
        <v>108000</v>
      </c>
      <c r="X51" s="21">
        <v>102000</v>
      </c>
      <c r="Y51" s="21">
        <v>94000</v>
      </c>
      <c r="Z51" s="21">
        <v>85000</v>
      </c>
      <c r="AA51" s="21">
        <v>158000</v>
      </c>
      <c r="AB51" s="21">
        <v>117000</v>
      </c>
      <c r="AC51" s="21">
        <v>109000</v>
      </c>
      <c r="AD51" s="21">
        <v>112000</v>
      </c>
      <c r="AE51" s="21">
        <v>146000</v>
      </c>
      <c r="AF51" s="21">
        <v>176000</v>
      </c>
      <c r="AG51" s="21">
        <v>193000</v>
      </c>
      <c r="AH51" s="21">
        <v>212000</v>
      </c>
      <c r="AI51" s="21">
        <v>304000</v>
      </c>
      <c r="AJ51" s="21">
        <v>215000</v>
      </c>
    </row>
    <row r="52" spans="1:36" x14ac:dyDescent="0.25">
      <c r="A52" s="5" t="s">
        <v>193</v>
      </c>
      <c r="B52" s="14" t="s">
        <v>163</v>
      </c>
      <c r="C52" s="21">
        <v>1193000</v>
      </c>
      <c r="D52" s="21">
        <v>1263000</v>
      </c>
      <c r="E52" s="21">
        <v>1623000</v>
      </c>
      <c r="F52" s="21">
        <v>1267000</v>
      </c>
      <c r="G52" s="21">
        <v>1519000</v>
      </c>
      <c r="H52" s="21">
        <v>1299000</v>
      </c>
      <c r="I52" s="21">
        <v>1334000</v>
      </c>
      <c r="J52" s="21">
        <v>1016000</v>
      </c>
      <c r="K52" s="21">
        <v>1284000</v>
      </c>
      <c r="L52" s="21">
        <v>1391000</v>
      </c>
      <c r="M52" s="21">
        <v>1258000</v>
      </c>
      <c r="N52" s="21">
        <v>1372000</v>
      </c>
      <c r="O52" s="21">
        <v>2127000</v>
      </c>
      <c r="P52" s="21">
        <v>2535000</v>
      </c>
      <c r="Q52" s="21">
        <v>2749000</v>
      </c>
      <c r="R52" s="21">
        <v>2702000</v>
      </c>
      <c r="S52" s="21">
        <v>3003000</v>
      </c>
      <c r="T52" s="21">
        <v>2778000</v>
      </c>
      <c r="U52" s="21">
        <v>2474000</v>
      </c>
      <c r="V52" s="21">
        <v>3147000</v>
      </c>
      <c r="W52" s="21">
        <v>3649000</v>
      </c>
      <c r="X52" s="21">
        <v>2990000</v>
      </c>
      <c r="Y52" s="21">
        <v>3245000</v>
      </c>
      <c r="Z52" s="21">
        <v>3569000</v>
      </c>
      <c r="AA52" s="21">
        <v>2148000</v>
      </c>
      <c r="AB52" s="21">
        <v>2331000</v>
      </c>
      <c r="AC52" s="21">
        <v>2773000</v>
      </c>
      <c r="AD52" s="21">
        <v>3197000</v>
      </c>
      <c r="AE52" s="21">
        <v>2625000</v>
      </c>
      <c r="AF52" s="21">
        <v>2656000</v>
      </c>
      <c r="AG52" s="21">
        <v>3852000</v>
      </c>
      <c r="AH52" s="21">
        <v>3959000</v>
      </c>
      <c r="AI52" s="21">
        <v>3948000</v>
      </c>
      <c r="AJ52" s="21">
        <v>3373000</v>
      </c>
    </row>
    <row r="53" spans="1:36" x14ac:dyDescent="0.25">
      <c r="A53" s="5" t="s">
        <v>194</v>
      </c>
      <c r="B53" s="14" t="s">
        <v>163</v>
      </c>
      <c r="C53" s="21">
        <v>1848000</v>
      </c>
      <c r="D53" s="21">
        <v>2132000</v>
      </c>
      <c r="E53" s="21">
        <v>1551000</v>
      </c>
      <c r="F53" s="21">
        <v>1432000</v>
      </c>
      <c r="G53" s="21">
        <v>923000</v>
      </c>
      <c r="H53" s="21">
        <v>1014000</v>
      </c>
      <c r="I53" s="21">
        <v>638000</v>
      </c>
      <c r="J53" s="21">
        <v>646000</v>
      </c>
      <c r="K53" s="21">
        <v>1085000</v>
      </c>
      <c r="L53" s="21">
        <v>2419000</v>
      </c>
      <c r="M53" s="21">
        <v>1434000</v>
      </c>
      <c r="N53" s="21">
        <v>1408000</v>
      </c>
      <c r="O53" s="21">
        <v>1890000</v>
      </c>
      <c r="P53" s="21">
        <v>1363000</v>
      </c>
      <c r="Q53" s="21">
        <v>1363000</v>
      </c>
      <c r="R53" s="21">
        <v>943000</v>
      </c>
      <c r="S53" s="21">
        <v>3147000</v>
      </c>
      <c r="T53" s="21">
        <v>3064000</v>
      </c>
      <c r="U53" s="21">
        <v>3345000</v>
      </c>
      <c r="V53" s="21">
        <v>3517000</v>
      </c>
      <c r="W53" s="21">
        <v>3828000</v>
      </c>
      <c r="X53" s="21">
        <v>3936000</v>
      </c>
      <c r="Y53" s="21">
        <v>3616000</v>
      </c>
      <c r="Z53" s="21">
        <v>3120000</v>
      </c>
      <c r="AA53" s="21">
        <v>3093000</v>
      </c>
      <c r="AB53" s="21">
        <v>2981000</v>
      </c>
      <c r="AC53" s="21">
        <v>2700000</v>
      </c>
      <c r="AD53" s="21">
        <v>2288000</v>
      </c>
      <c r="AE53" s="21">
        <v>3576000</v>
      </c>
      <c r="AF53" s="21">
        <v>4630000</v>
      </c>
      <c r="AG53" s="21">
        <v>3787000</v>
      </c>
      <c r="AH53" s="21">
        <v>3816000</v>
      </c>
      <c r="AI53" s="21">
        <v>3943000</v>
      </c>
      <c r="AJ53" s="21">
        <v>3927000</v>
      </c>
    </row>
    <row r="54" spans="1:36" x14ac:dyDescent="0.25">
      <c r="A54" s="5" t="s">
        <v>195</v>
      </c>
      <c r="B54" s="14" t="s">
        <v>163</v>
      </c>
      <c r="C54" s="14" t="s">
        <v>163</v>
      </c>
      <c r="D54" s="14" t="s">
        <v>163</v>
      </c>
      <c r="E54" s="14" t="s">
        <v>163</v>
      </c>
      <c r="F54" s="14" t="s">
        <v>163</v>
      </c>
      <c r="G54" s="14" t="s">
        <v>163</v>
      </c>
      <c r="H54" s="14" t="s">
        <v>163</v>
      </c>
      <c r="I54" s="14" t="s">
        <v>163</v>
      </c>
      <c r="J54" s="14" t="s">
        <v>163</v>
      </c>
      <c r="K54" s="14" t="s">
        <v>163</v>
      </c>
      <c r="L54" s="14" t="s">
        <v>163</v>
      </c>
      <c r="M54" s="14" t="s">
        <v>163</v>
      </c>
      <c r="N54" s="14" t="s">
        <v>163</v>
      </c>
      <c r="O54" s="14" t="s">
        <v>163</v>
      </c>
      <c r="P54" s="14" t="s">
        <v>163</v>
      </c>
      <c r="Q54" s="14" t="s">
        <v>163</v>
      </c>
      <c r="R54" s="14" t="s">
        <v>163</v>
      </c>
      <c r="S54" s="14" t="s">
        <v>163</v>
      </c>
      <c r="T54" s="14" t="s">
        <v>163</v>
      </c>
      <c r="U54" s="14" t="s">
        <v>163</v>
      </c>
      <c r="V54" s="14" t="s">
        <v>163</v>
      </c>
      <c r="W54" s="14" t="s">
        <v>163</v>
      </c>
      <c r="X54" s="14" t="s">
        <v>163</v>
      </c>
      <c r="Y54" s="14" t="s">
        <v>163</v>
      </c>
      <c r="Z54" s="14" t="s">
        <v>163</v>
      </c>
      <c r="AA54" s="14" t="s">
        <v>163</v>
      </c>
      <c r="AB54" s="14" t="s">
        <v>163</v>
      </c>
      <c r="AC54" s="14" t="s">
        <v>163</v>
      </c>
      <c r="AD54" s="21">
        <v>28000</v>
      </c>
      <c r="AE54" s="21">
        <v>228000</v>
      </c>
      <c r="AF54" s="21">
        <v>228000</v>
      </c>
      <c r="AG54" s="21">
        <v>212000</v>
      </c>
      <c r="AH54" s="21">
        <v>203000</v>
      </c>
      <c r="AI54" s="21">
        <v>210000</v>
      </c>
      <c r="AJ54" s="21">
        <v>195000</v>
      </c>
    </row>
    <row r="55" spans="1:36" x14ac:dyDescent="0.25">
      <c r="A55" s="5" t="s">
        <v>196</v>
      </c>
      <c r="B55" s="14" t="s">
        <v>163</v>
      </c>
      <c r="C55" s="21">
        <v>526000</v>
      </c>
      <c r="D55" s="21">
        <v>2182000</v>
      </c>
      <c r="E55" s="21">
        <v>2491000</v>
      </c>
      <c r="F55" s="21">
        <v>2496000</v>
      </c>
      <c r="G55" s="21">
        <v>2424000</v>
      </c>
      <c r="H55" s="21">
        <v>2430000</v>
      </c>
      <c r="I55" s="21">
        <v>2338000</v>
      </c>
      <c r="J55" s="21">
        <v>2315000</v>
      </c>
      <c r="K55" s="21">
        <v>2245000</v>
      </c>
      <c r="L55" s="21">
        <v>1767000</v>
      </c>
      <c r="M55" s="21">
        <v>2008000</v>
      </c>
      <c r="N55" s="21">
        <v>2601000</v>
      </c>
      <c r="O55" s="21">
        <v>2382000</v>
      </c>
      <c r="P55" s="21">
        <v>2125000</v>
      </c>
      <c r="Q55" s="21">
        <v>2008000</v>
      </c>
      <c r="R55" s="21">
        <v>2174000</v>
      </c>
      <c r="S55" s="21">
        <v>3187000</v>
      </c>
      <c r="T55" s="21">
        <v>4767000</v>
      </c>
      <c r="U55" s="21">
        <v>4143000</v>
      </c>
      <c r="V55" s="21">
        <v>4365000</v>
      </c>
      <c r="W55" s="21">
        <v>4600000</v>
      </c>
      <c r="X55" s="21">
        <v>4416000</v>
      </c>
      <c r="Y55" s="21">
        <v>2064000</v>
      </c>
      <c r="Z55" s="21">
        <v>1117000</v>
      </c>
      <c r="AA55" s="21">
        <v>1101000</v>
      </c>
      <c r="AB55" s="21">
        <v>1216000</v>
      </c>
      <c r="AC55" s="21">
        <v>759000</v>
      </c>
      <c r="AD55" s="21">
        <v>980000</v>
      </c>
      <c r="AE55" s="21">
        <v>532000</v>
      </c>
      <c r="AF55" s="21">
        <v>322000</v>
      </c>
      <c r="AG55" s="21">
        <v>235000</v>
      </c>
      <c r="AH55" s="21">
        <v>209000</v>
      </c>
      <c r="AI55" s="21">
        <v>126000</v>
      </c>
      <c r="AJ55" s="21">
        <v>117000</v>
      </c>
    </row>
    <row r="56" spans="1:36" x14ac:dyDescent="0.25">
      <c r="A56" s="5" t="s">
        <v>197</v>
      </c>
      <c r="B56" s="14" t="s">
        <v>163</v>
      </c>
      <c r="C56" s="14" t="s">
        <v>163</v>
      </c>
      <c r="D56" s="14" t="s">
        <v>163</v>
      </c>
      <c r="E56" s="14" t="s">
        <v>163</v>
      </c>
      <c r="F56" s="14" t="s">
        <v>163</v>
      </c>
      <c r="G56" s="14" t="s">
        <v>163</v>
      </c>
      <c r="H56" s="14" t="s">
        <v>163</v>
      </c>
      <c r="I56" s="14" t="s">
        <v>163</v>
      </c>
      <c r="J56" s="21">
        <v>129000</v>
      </c>
      <c r="K56" s="21">
        <v>348000</v>
      </c>
      <c r="L56" s="21">
        <v>666000</v>
      </c>
      <c r="M56" s="21">
        <v>732000</v>
      </c>
      <c r="N56" s="21">
        <v>223000</v>
      </c>
      <c r="O56" s="21">
        <v>6000</v>
      </c>
      <c r="P56" s="21">
        <v>598000</v>
      </c>
      <c r="Q56" s="14" t="s">
        <v>163</v>
      </c>
      <c r="R56" s="14" t="s">
        <v>163</v>
      </c>
      <c r="S56" s="21">
        <v>162000</v>
      </c>
      <c r="T56" s="14" t="s">
        <v>163</v>
      </c>
      <c r="U56" s="14" t="s">
        <v>163</v>
      </c>
      <c r="V56" s="14" t="s">
        <v>163</v>
      </c>
      <c r="W56" s="14" t="s">
        <v>163</v>
      </c>
      <c r="X56" s="14" t="s">
        <v>163</v>
      </c>
      <c r="Y56" s="21">
        <v>418000</v>
      </c>
      <c r="Z56" s="14" t="s">
        <v>163</v>
      </c>
      <c r="AA56" s="21">
        <v>29000</v>
      </c>
      <c r="AB56" s="21">
        <v>28000</v>
      </c>
      <c r="AC56" s="21">
        <v>6000</v>
      </c>
      <c r="AD56" s="21">
        <v>14000</v>
      </c>
      <c r="AE56" s="21">
        <v>4000</v>
      </c>
      <c r="AF56" s="21">
        <v>11000</v>
      </c>
      <c r="AG56" s="21">
        <v>122000</v>
      </c>
      <c r="AH56" s="21">
        <v>456000</v>
      </c>
      <c r="AI56" s="21">
        <v>587000</v>
      </c>
      <c r="AJ56" s="21">
        <v>657000</v>
      </c>
    </row>
    <row r="57" spans="1:36" x14ac:dyDescent="0.25">
      <c r="A57" s="5" t="s">
        <v>198</v>
      </c>
      <c r="B57" s="14" t="s">
        <v>163</v>
      </c>
      <c r="C57" s="21">
        <v>368000</v>
      </c>
      <c r="D57" s="21">
        <v>427000</v>
      </c>
      <c r="E57" s="21">
        <v>347000</v>
      </c>
      <c r="F57" s="21">
        <v>276000</v>
      </c>
      <c r="G57" s="21">
        <v>247000</v>
      </c>
      <c r="H57" s="21">
        <v>207000</v>
      </c>
      <c r="I57" s="21">
        <v>536000</v>
      </c>
      <c r="J57" s="21">
        <v>484000</v>
      </c>
      <c r="K57" s="21">
        <v>441000</v>
      </c>
      <c r="L57" s="21">
        <v>483000</v>
      </c>
      <c r="M57" s="21">
        <v>399000</v>
      </c>
      <c r="N57" s="21">
        <v>346000</v>
      </c>
      <c r="O57" s="21">
        <v>337000</v>
      </c>
      <c r="P57" s="21">
        <v>341000</v>
      </c>
      <c r="Q57" s="21">
        <v>346000</v>
      </c>
      <c r="R57" s="21">
        <v>364000</v>
      </c>
      <c r="S57" s="21">
        <v>514000</v>
      </c>
      <c r="T57" s="21">
        <v>419000</v>
      </c>
      <c r="U57" s="21">
        <v>481000</v>
      </c>
      <c r="V57" s="21">
        <v>469000</v>
      </c>
      <c r="W57" s="21">
        <v>495000</v>
      </c>
      <c r="X57" s="21">
        <v>397000</v>
      </c>
      <c r="Y57" s="21">
        <v>424000</v>
      </c>
      <c r="Z57" s="21">
        <v>407000</v>
      </c>
      <c r="AA57" s="21">
        <v>359000</v>
      </c>
      <c r="AB57" s="21">
        <v>329000</v>
      </c>
      <c r="AC57" s="21">
        <v>303000</v>
      </c>
      <c r="AD57" s="21">
        <v>272000</v>
      </c>
      <c r="AE57" s="21">
        <v>550000</v>
      </c>
      <c r="AF57" s="21">
        <v>333000</v>
      </c>
      <c r="AG57" s="21">
        <v>505000</v>
      </c>
      <c r="AH57" s="21">
        <v>504000</v>
      </c>
      <c r="AI57" s="21">
        <v>497000</v>
      </c>
      <c r="AJ57" s="21">
        <v>526000</v>
      </c>
    </row>
    <row r="58" spans="1:36" x14ac:dyDescent="0.25">
      <c r="A58" s="5" t="s">
        <v>199</v>
      </c>
      <c r="B58" s="14" t="s">
        <v>163</v>
      </c>
      <c r="C58" s="21">
        <v>3935000</v>
      </c>
      <c r="D58" s="21">
        <v>6004000</v>
      </c>
      <c r="E58" s="21">
        <v>6012000</v>
      </c>
      <c r="F58" s="21">
        <v>5471000</v>
      </c>
      <c r="G58" s="21">
        <v>5113000</v>
      </c>
      <c r="H58" s="21">
        <v>4950000</v>
      </c>
      <c r="I58" s="21">
        <v>4846000</v>
      </c>
      <c r="J58" s="21">
        <v>4590000</v>
      </c>
      <c r="K58" s="21">
        <v>5403000</v>
      </c>
      <c r="L58" s="21">
        <v>6726000</v>
      </c>
      <c r="M58" s="21">
        <v>5831000</v>
      </c>
      <c r="N58" s="21">
        <v>5950000</v>
      </c>
      <c r="O58" s="21">
        <v>6742000</v>
      </c>
      <c r="P58" s="21">
        <v>6962000</v>
      </c>
      <c r="Q58" s="21">
        <v>6466000</v>
      </c>
      <c r="R58" s="21">
        <v>6183000</v>
      </c>
      <c r="S58" s="21">
        <v>10013000</v>
      </c>
      <c r="T58" s="21">
        <v>11028000</v>
      </c>
      <c r="U58" s="21">
        <v>10443000</v>
      </c>
      <c r="V58" s="21">
        <v>11498000</v>
      </c>
      <c r="W58" s="21">
        <v>12572000</v>
      </c>
      <c r="X58" s="21">
        <v>11739000</v>
      </c>
      <c r="Y58" s="21">
        <v>9767000</v>
      </c>
      <c r="Z58" s="21">
        <v>8213000</v>
      </c>
      <c r="AA58" s="21">
        <v>6730000</v>
      </c>
      <c r="AB58" s="21">
        <v>6885000</v>
      </c>
      <c r="AC58" s="21">
        <v>6541000</v>
      </c>
      <c r="AD58" s="21">
        <v>6779000</v>
      </c>
      <c r="AE58" s="21">
        <v>7515000</v>
      </c>
      <c r="AF58" s="21">
        <v>8180000</v>
      </c>
      <c r="AG58" s="21">
        <v>8713000</v>
      </c>
      <c r="AH58" s="21">
        <v>9147000</v>
      </c>
      <c r="AI58" s="21">
        <v>9311000</v>
      </c>
      <c r="AJ58" s="21">
        <v>8795000</v>
      </c>
    </row>
    <row r="59" spans="1:36" x14ac:dyDescent="0.25">
      <c r="A59" s="20" t="s">
        <v>200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spans="1:36" x14ac:dyDescent="0.25">
      <c r="A60" s="5" t="s">
        <v>201</v>
      </c>
      <c r="B60" s="14" t="s">
        <v>163</v>
      </c>
      <c r="C60" s="21">
        <v>25000</v>
      </c>
      <c r="D60" s="21">
        <v>25000</v>
      </c>
      <c r="E60" s="21">
        <v>25000</v>
      </c>
      <c r="F60" s="21">
        <v>25000</v>
      </c>
      <c r="G60" s="14" t="s">
        <v>163</v>
      </c>
      <c r="H60" s="14" t="s">
        <v>163</v>
      </c>
      <c r="I60" s="14" t="s">
        <v>163</v>
      </c>
      <c r="J60" s="14" t="s">
        <v>163</v>
      </c>
      <c r="K60" s="14" t="s">
        <v>163</v>
      </c>
      <c r="L60" s="14" t="s">
        <v>163</v>
      </c>
      <c r="M60" s="14" t="s">
        <v>163</v>
      </c>
      <c r="N60" s="14" t="s">
        <v>163</v>
      </c>
      <c r="O60" s="14" t="s">
        <v>163</v>
      </c>
      <c r="P60" s="14" t="s">
        <v>163</v>
      </c>
      <c r="Q60" s="14" t="s">
        <v>163</v>
      </c>
      <c r="R60" s="14" t="s">
        <v>163</v>
      </c>
      <c r="S60" s="14" t="s">
        <v>163</v>
      </c>
      <c r="T60" s="14" t="s">
        <v>163</v>
      </c>
      <c r="U60" s="14" t="s">
        <v>163</v>
      </c>
      <c r="V60" s="14" t="s">
        <v>163</v>
      </c>
      <c r="W60" s="14" t="s">
        <v>163</v>
      </c>
      <c r="X60" s="14" t="s">
        <v>163</v>
      </c>
      <c r="Y60" s="14" t="s">
        <v>163</v>
      </c>
      <c r="Z60" s="14" t="s">
        <v>163</v>
      </c>
      <c r="AA60" s="14" t="s">
        <v>163</v>
      </c>
      <c r="AB60" s="14" t="s">
        <v>163</v>
      </c>
      <c r="AC60" s="14" t="s">
        <v>163</v>
      </c>
      <c r="AD60" s="14" t="s">
        <v>163</v>
      </c>
      <c r="AE60" s="14" t="s">
        <v>163</v>
      </c>
      <c r="AF60" s="14" t="s">
        <v>163</v>
      </c>
      <c r="AG60" s="14" t="s">
        <v>163</v>
      </c>
      <c r="AH60" s="14" t="s">
        <v>163</v>
      </c>
      <c r="AI60" s="14" t="s">
        <v>163</v>
      </c>
      <c r="AJ60" s="14" t="s">
        <v>163</v>
      </c>
    </row>
    <row r="61" spans="1:36" x14ac:dyDescent="0.25">
      <c r="A61" s="5" t="s">
        <v>202</v>
      </c>
      <c r="B61" s="14" t="s">
        <v>163</v>
      </c>
      <c r="C61" s="14" t="s">
        <v>163</v>
      </c>
      <c r="D61" s="14" t="s">
        <v>163</v>
      </c>
      <c r="E61" s="21">
        <v>7000</v>
      </c>
      <c r="F61" s="21">
        <v>7000</v>
      </c>
      <c r="G61" s="21">
        <v>7000</v>
      </c>
      <c r="H61" s="21">
        <v>7000</v>
      </c>
      <c r="I61" s="21">
        <v>3000</v>
      </c>
      <c r="J61" s="21">
        <v>3000</v>
      </c>
      <c r="K61" s="21">
        <v>3000</v>
      </c>
      <c r="L61" s="14" t="s">
        <v>163</v>
      </c>
      <c r="M61" s="14" t="s">
        <v>163</v>
      </c>
      <c r="N61" s="14" t="s">
        <v>163</v>
      </c>
      <c r="O61" s="21">
        <v>226000</v>
      </c>
      <c r="P61" s="21">
        <v>216000</v>
      </c>
      <c r="Q61" s="21">
        <v>216000</v>
      </c>
      <c r="R61" s="14" t="s">
        <v>163</v>
      </c>
      <c r="S61" s="14" t="s">
        <v>163</v>
      </c>
      <c r="T61" s="14" t="s">
        <v>163</v>
      </c>
      <c r="U61" s="14" t="s">
        <v>163</v>
      </c>
      <c r="V61" s="14" t="s">
        <v>163</v>
      </c>
      <c r="W61" s="14" t="s">
        <v>163</v>
      </c>
      <c r="X61" s="14" t="s">
        <v>163</v>
      </c>
      <c r="Y61" s="14" t="s">
        <v>163</v>
      </c>
      <c r="Z61" s="14" t="s">
        <v>163</v>
      </c>
      <c r="AA61" s="14" t="s">
        <v>163</v>
      </c>
      <c r="AB61" s="14" t="s">
        <v>163</v>
      </c>
      <c r="AC61" s="14" t="s">
        <v>163</v>
      </c>
      <c r="AD61" s="14" t="s">
        <v>163</v>
      </c>
      <c r="AE61" s="14" t="s">
        <v>163</v>
      </c>
      <c r="AF61" s="14" t="s">
        <v>163</v>
      </c>
      <c r="AG61" s="14" t="s">
        <v>163</v>
      </c>
      <c r="AH61" s="14" t="s">
        <v>163</v>
      </c>
      <c r="AI61" s="14" t="s">
        <v>163</v>
      </c>
      <c r="AJ61" s="14" t="s">
        <v>163</v>
      </c>
    </row>
    <row r="62" spans="1:36" x14ac:dyDescent="0.25">
      <c r="A62" s="20" t="s">
        <v>203</v>
      </c>
      <c r="B62" s="9" t="s">
        <v>163</v>
      </c>
      <c r="C62" s="30">
        <v>25000</v>
      </c>
      <c r="D62" s="30">
        <v>25000</v>
      </c>
      <c r="E62" s="30">
        <v>32000</v>
      </c>
      <c r="F62" s="30">
        <v>32000</v>
      </c>
      <c r="G62" s="30">
        <v>7000</v>
      </c>
      <c r="H62" s="30">
        <v>7000</v>
      </c>
      <c r="I62" s="30">
        <v>3000</v>
      </c>
      <c r="J62" s="30">
        <v>3000</v>
      </c>
      <c r="K62" s="30">
        <v>3000</v>
      </c>
      <c r="L62" s="9" t="s">
        <v>163</v>
      </c>
      <c r="M62" s="9" t="s">
        <v>163</v>
      </c>
      <c r="N62" s="9" t="s">
        <v>163</v>
      </c>
      <c r="O62" s="30">
        <v>226000</v>
      </c>
      <c r="P62" s="30">
        <v>216000</v>
      </c>
      <c r="Q62" s="30">
        <v>216000</v>
      </c>
      <c r="R62" s="9" t="s">
        <v>163</v>
      </c>
      <c r="S62" s="9" t="s">
        <v>163</v>
      </c>
      <c r="T62" s="9" t="s">
        <v>163</v>
      </c>
      <c r="U62" s="9" t="s">
        <v>163</v>
      </c>
      <c r="V62" s="9" t="s">
        <v>163</v>
      </c>
      <c r="W62" s="9" t="s">
        <v>163</v>
      </c>
      <c r="X62" s="9" t="s">
        <v>163</v>
      </c>
      <c r="Y62" s="9" t="s">
        <v>163</v>
      </c>
      <c r="Z62" s="9" t="s">
        <v>163</v>
      </c>
      <c r="AA62" s="9" t="s">
        <v>163</v>
      </c>
      <c r="AB62" s="9" t="s">
        <v>163</v>
      </c>
      <c r="AC62" s="9" t="s">
        <v>163</v>
      </c>
      <c r="AD62" s="9" t="s">
        <v>163</v>
      </c>
      <c r="AE62" s="9" t="s">
        <v>163</v>
      </c>
      <c r="AF62" s="9" t="s">
        <v>163</v>
      </c>
      <c r="AG62" s="9" t="s">
        <v>163</v>
      </c>
      <c r="AH62" s="9" t="s">
        <v>163</v>
      </c>
      <c r="AI62" s="9" t="s">
        <v>163</v>
      </c>
      <c r="AJ62" s="9" t="s">
        <v>163</v>
      </c>
    </row>
    <row r="63" spans="1:36" x14ac:dyDescent="0.25">
      <c r="A63" s="5" t="s">
        <v>204</v>
      </c>
      <c r="B63" s="14" t="s">
        <v>163</v>
      </c>
      <c r="C63" s="21">
        <v>1667000</v>
      </c>
      <c r="D63" s="21">
        <v>222000</v>
      </c>
      <c r="E63" s="21">
        <v>585000</v>
      </c>
      <c r="F63" s="21">
        <v>913000</v>
      </c>
      <c r="G63" s="21">
        <v>1337000</v>
      </c>
      <c r="H63" s="21">
        <v>1559000</v>
      </c>
      <c r="I63" s="21">
        <v>1779000</v>
      </c>
      <c r="J63" s="21">
        <v>2090000</v>
      </c>
      <c r="K63" s="21">
        <v>2053000</v>
      </c>
      <c r="L63" s="21">
        <v>1952000</v>
      </c>
      <c r="M63" s="21">
        <v>89000</v>
      </c>
      <c r="N63" s="21">
        <v>102000</v>
      </c>
      <c r="O63" s="21">
        <v>104000</v>
      </c>
      <c r="P63" s="21">
        <v>114000</v>
      </c>
      <c r="Q63" s="21">
        <v>115000</v>
      </c>
      <c r="R63" s="21">
        <v>124000</v>
      </c>
      <c r="S63" s="21">
        <v>124000</v>
      </c>
      <c r="T63" s="21">
        <v>124000</v>
      </c>
      <c r="U63" s="21">
        <v>151000</v>
      </c>
      <c r="V63" s="21">
        <v>151000</v>
      </c>
      <c r="W63" s="21">
        <v>151000</v>
      </c>
      <c r="X63" s="21">
        <v>151000</v>
      </c>
      <c r="Y63" s="21">
        <v>151000</v>
      </c>
      <c r="Z63" s="21">
        <v>151000</v>
      </c>
      <c r="AA63" s="21">
        <v>151000</v>
      </c>
      <c r="AB63" s="21">
        <v>176000</v>
      </c>
      <c r="AC63" s="21">
        <v>176000</v>
      </c>
      <c r="AD63" s="21">
        <v>177000</v>
      </c>
      <c r="AE63" s="21">
        <v>179000</v>
      </c>
      <c r="AF63" s="21">
        <v>229000</v>
      </c>
      <c r="AG63" s="21">
        <v>280000</v>
      </c>
      <c r="AH63" s="21">
        <v>283000</v>
      </c>
      <c r="AI63" s="21">
        <v>286000</v>
      </c>
      <c r="AJ63" s="21">
        <v>288000</v>
      </c>
    </row>
    <row r="64" spans="1:36" x14ac:dyDescent="0.25">
      <c r="A64" s="5" t="s">
        <v>205</v>
      </c>
      <c r="B64" s="14" t="s">
        <v>163</v>
      </c>
      <c r="C64" s="14" t="s">
        <v>163</v>
      </c>
      <c r="D64" s="14" t="s">
        <v>163</v>
      </c>
      <c r="E64" s="14" t="s">
        <v>163</v>
      </c>
      <c r="F64" s="14" t="s">
        <v>163</v>
      </c>
      <c r="G64" s="14" t="s">
        <v>163</v>
      </c>
      <c r="H64" s="14" t="s">
        <v>163</v>
      </c>
      <c r="I64" s="14" t="s">
        <v>163</v>
      </c>
      <c r="J64" s="14" t="s">
        <v>163</v>
      </c>
      <c r="K64" s="14" t="s">
        <v>163</v>
      </c>
      <c r="L64" s="14" t="s">
        <v>163</v>
      </c>
      <c r="M64" s="21">
        <v>2475000</v>
      </c>
      <c r="N64" s="21">
        <v>2689000</v>
      </c>
      <c r="O64" s="21">
        <v>2687000</v>
      </c>
      <c r="P64" s="21">
        <v>3041000</v>
      </c>
      <c r="Q64" s="21">
        <v>3061000</v>
      </c>
      <c r="R64" s="21">
        <v>2942000</v>
      </c>
      <c r="S64" s="21">
        <v>2955000</v>
      </c>
      <c r="T64" s="21">
        <v>2986000</v>
      </c>
      <c r="U64" s="21">
        <v>3652000</v>
      </c>
      <c r="V64" s="21">
        <v>3650000</v>
      </c>
      <c r="W64" s="21">
        <v>3650000</v>
      </c>
      <c r="X64" s="21">
        <v>3652000</v>
      </c>
      <c r="Y64" s="21">
        <v>3667000</v>
      </c>
      <c r="Z64" s="21">
        <v>3623000</v>
      </c>
      <c r="AA64" s="21">
        <v>3603000</v>
      </c>
      <c r="AB64" s="21">
        <v>4027000</v>
      </c>
      <c r="AC64" s="21">
        <v>3932000</v>
      </c>
      <c r="AD64" s="21">
        <v>3917000</v>
      </c>
      <c r="AE64" s="21">
        <v>4020000</v>
      </c>
      <c r="AF64" s="21">
        <v>4402000</v>
      </c>
      <c r="AG64" s="21">
        <v>5199000</v>
      </c>
      <c r="AH64" s="21">
        <v>5194000</v>
      </c>
      <c r="AI64" s="21">
        <v>5253000</v>
      </c>
      <c r="AJ64" s="21">
        <v>5307000</v>
      </c>
    </row>
    <row r="65" spans="1:36" x14ac:dyDescent="0.25">
      <c r="A65" s="5" t="s">
        <v>206</v>
      </c>
      <c r="B65" s="14" t="s">
        <v>163</v>
      </c>
      <c r="C65" s="14" t="s">
        <v>163</v>
      </c>
      <c r="D65" s="14" t="s">
        <v>163</v>
      </c>
      <c r="E65" s="14" t="s">
        <v>163</v>
      </c>
      <c r="F65" s="14" t="s">
        <v>163</v>
      </c>
      <c r="G65" s="14" t="s">
        <v>163</v>
      </c>
      <c r="H65" s="14" t="s">
        <v>163</v>
      </c>
      <c r="I65" s="14" t="s">
        <v>163</v>
      </c>
      <c r="J65" s="14" t="s">
        <v>163</v>
      </c>
      <c r="K65" s="14" t="s">
        <v>163</v>
      </c>
      <c r="L65" s="14" t="s">
        <v>163</v>
      </c>
      <c r="M65" s="14" t="s">
        <v>163</v>
      </c>
      <c r="N65" s="21">
        <v>42000</v>
      </c>
      <c r="O65" s="21">
        <v>-421000</v>
      </c>
      <c r="P65" s="21">
        <v>755000</v>
      </c>
      <c r="Q65" s="21">
        <v>1605000</v>
      </c>
      <c r="R65" s="21">
        <v>2902000</v>
      </c>
      <c r="S65" s="21">
        <v>3683000</v>
      </c>
      <c r="T65" s="21">
        <v>5666000</v>
      </c>
      <c r="U65" s="21">
        <v>4209000</v>
      </c>
      <c r="V65" s="21">
        <v>3698000</v>
      </c>
      <c r="W65" s="21">
        <v>3616000</v>
      </c>
      <c r="X65" s="21">
        <v>3463000</v>
      </c>
      <c r="Y65" s="21">
        <v>1789000</v>
      </c>
      <c r="Z65" s="21">
        <v>1862000</v>
      </c>
      <c r="AA65" s="21">
        <v>190000</v>
      </c>
      <c r="AB65" s="21">
        <v>-250000</v>
      </c>
      <c r="AC65" s="21">
        <v>133000</v>
      </c>
      <c r="AD65" s="21">
        <v>1212000</v>
      </c>
      <c r="AE65" s="21">
        <v>544000</v>
      </c>
      <c r="AF65" s="21">
        <v>-623000</v>
      </c>
      <c r="AG65" s="21">
        <v>3534000</v>
      </c>
      <c r="AH65" s="21">
        <v>6030000</v>
      </c>
      <c r="AI65" s="21">
        <v>6880000</v>
      </c>
      <c r="AJ65" s="21">
        <v>7219000</v>
      </c>
    </row>
    <row r="66" spans="1:36" x14ac:dyDescent="0.25">
      <c r="A66" s="5" t="s">
        <v>207</v>
      </c>
      <c r="B66" s="14" t="s">
        <v>163</v>
      </c>
      <c r="C66" s="14" t="s">
        <v>163</v>
      </c>
      <c r="D66" s="14" t="s">
        <v>163</v>
      </c>
      <c r="E66" s="14" t="s">
        <v>163</v>
      </c>
      <c r="F66" s="14" t="s">
        <v>163</v>
      </c>
      <c r="G66" s="14" t="s">
        <v>163</v>
      </c>
      <c r="H66" s="14" t="s">
        <v>163</v>
      </c>
      <c r="I66" s="14" t="s">
        <v>163</v>
      </c>
      <c r="J66" s="14" t="s">
        <v>163</v>
      </c>
      <c r="K66" s="14" t="s">
        <v>163</v>
      </c>
      <c r="L66" s="14" t="s">
        <v>163</v>
      </c>
      <c r="M66" s="14" t="s">
        <v>163</v>
      </c>
      <c r="N66" s="14" t="s">
        <v>163</v>
      </c>
      <c r="O66" s="14" t="s">
        <v>163</v>
      </c>
      <c r="P66" s="14" t="s">
        <v>163</v>
      </c>
      <c r="Q66" s="21">
        <v>-253000</v>
      </c>
      <c r="R66" s="21">
        <v>-317000</v>
      </c>
      <c r="S66" s="21">
        <v>-395000</v>
      </c>
      <c r="T66" s="21">
        <v>-612000</v>
      </c>
      <c r="U66" s="21">
        <v>-608000</v>
      </c>
      <c r="V66" s="21">
        <v>-580000</v>
      </c>
      <c r="W66" s="21">
        <v>-550000</v>
      </c>
      <c r="X66" s="21">
        <v>-521000</v>
      </c>
      <c r="Y66" s="21">
        <v>-480000</v>
      </c>
      <c r="Z66" s="21">
        <v>-396000</v>
      </c>
      <c r="AA66" s="21">
        <v>-339000</v>
      </c>
      <c r="AB66" s="21">
        <v>-182000</v>
      </c>
      <c r="AC66" s="21">
        <v>-76000</v>
      </c>
      <c r="AD66" s="21">
        <v>-78000</v>
      </c>
      <c r="AE66" s="21">
        <v>-173000</v>
      </c>
      <c r="AF66" s="21">
        <v>-175000</v>
      </c>
      <c r="AG66" s="21">
        <v>-334000</v>
      </c>
      <c r="AH66" s="21">
        <v>-1204000</v>
      </c>
      <c r="AI66" s="21">
        <v>-1418000</v>
      </c>
      <c r="AJ66" s="21">
        <v>-1446000</v>
      </c>
    </row>
    <row r="67" spans="1:36" x14ac:dyDescent="0.25">
      <c r="A67" s="5" t="s">
        <v>208</v>
      </c>
      <c r="B67" s="14" t="s">
        <v>163</v>
      </c>
      <c r="C67" s="14" t="s">
        <v>163</v>
      </c>
      <c r="D67" s="14" t="s">
        <v>163</v>
      </c>
      <c r="E67" s="14" t="s">
        <v>163</v>
      </c>
      <c r="F67" s="14" t="s">
        <v>163</v>
      </c>
      <c r="G67" s="14" t="s">
        <v>163</v>
      </c>
      <c r="H67" s="14" t="s">
        <v>163</v>
      </c>
      <c r="I67" s="14" t="s">
        <v>163</v>
      </c>
      <c r="J67" s="14" t="s">
        <v>163</v>
      </c>
      <c r="K67" s="14" t="s">
        <v>163</v>
      </c>
      <c r="L67" s="21">
        <v>-33000</v>
      </c>
      <c r="M67" s="21">
        <v>-58000</v>
      </c>
      <c r="N67" s="21">
        <v>-806000</v>
      </c>
      <c r="O67" s="21">
        <v>-1503000</v>
      </c>
      <c r="P67" s="21">
        <v>-52000</v>
      </c>
      <c r="Q67" s="21">
        <v>-1420000</v>
      </c>
      <c r="R67" s="21">
        <v>-1286000</v>
      </c>
      <c r="S67" s="21">
        <v>-836000</v>
      </c>
      <c r="T67" s="21">
        <v>-3269000</v>
      </c>
      <c r="U67" s="21">
        <v>-2728000</v>
      </c>
      <c r="V67" s="21">
        <v>-3068000</v>
      </c>
      <c r="W67" s="21">
        <v>-3367000</v>
      </c>
      <c r="X67" s="21">
        <v>-3268000</v>
      </c>
      <c r="Y67" s="21">
        <v>-1752000</v>
      </c>
      <c r="Z67" s="21">
        <v>-1441000</v>
      </c>
      <c r="AA67" s="21">
        <v>-1169000</v>
      </c>
      <c r="AB67" s="21">
        <v>-1497000</v>
      </c>
      <c r="AC67" s="21">
        <v>-845000</v>
      </c>
      <c r="AD67" s="21">
        <v>-1026000</v>
      </c>
      <c r="AE67" s="21">
        <v>-478000</v>
      </c>
      <c r="AF67" s="21">
        <v>-47000</v>
      </c>
      <c r="AG67" s="21">
        <v>331000</v>
      </c>
      <c r="AH67" s="21">
        <v>-85000</v>
      </c>
      <c r="AI67" s="21">
        <v>46000</v>
      </c>
      <c r="AJ67" s="21">
        <v>-21000</v>
      </c>
    </row>
    <row r="68" spans="1:36" x14ac:dyDescent="0.25">
      <c r="A68" s="5" t="s">
        <v>209</v>
      </c>
      <c r="B68" s="14" t="s">
        <v>163</v>
      </c>
      <c r="C68" s="21">
        <v>1667000</v>
      </c>
      <c r="D68" s="21">
        <v>222000</v>
      </c>
      <c r="E68" s="21">
        <v>585000</v>
      </c>
      <c r="F68" s="21">
        <v>913000</v>
      </c>
      <c r="G68" s="21">
        <v>1337000</v>
      </c>
      <c r="H68" s="21">
        <v>1559000</v>
      </c>
      <c r="I68" s="21">
        <v>1779000</v>
      </c>
      <c r="J68" s="21">
        <v>2090000</v>
      </c>
      <c r="K68" s="21">
        <v>2053000</v>
      </c>
      <c r="L68" s="21">
        <v>1919000</v>
      </c>
      <c r="M68" s="21">
        <v>2506000</v>
      </c>
      <c r="N68" s="21">
        <v>2027000</v>
      </c>
      <c r="O68" s="21">
        <v>867000</v>
      </c>
      <c r="P68" s="21">
        <v>3858000</v>
      </c>
      <c r="Q68" s="21">
        <v>3108000</v>
      </c>
      <c r="R68" s="21">
        <v>4365000</v>
      </c>
      <c r="S68" s="21">
        <v>5531000</v>
      </c>
      <c r="T68" s="21">
        <v>4895000</v>
      </c>
      <c r="U68" s="21">
        <v>4676000</v>
      </c>
      <c r="V68" s="21">
        <v>3851000</v>
      </c>
      <c r="W68" s="21">
        <v>3500000</v>
      </c>
      <c r="X68" s="21">
        <v>3477000</v>
      </c>
      <c r="Y68" s="21">
        <v>3375000</v>
      </c>
      <c r="Z68" s="21">
        <v>3799000</v>
      </c>
      <c r="AA68" s="21">
        <v>2436000</v>
      </c>
      <c r="AB68" s="21">
        <v>2274000</v>
      </c>
      <c r="AC68" s="21">
        <v>3320000</v>
      </c>
      <c r="AD68" s="21">
        <v>4202000</v>
      </c>
      <c r="AE68" s="21">
        <v>4092000</v>
      </c>
      <c r="AF68" s="21">
        <v>3786000</v>
      </c>
      <c r="AG68" s="21">
        <v>9010000</v>
      </c>
      <c r="AH68" s="21">
        <v>10218000</v>
      </c>
      <c r="AI68" s="21">
        <v>11047000</v>
      </c>
      <c r="AJ68" s="21">
        <v>11347000</v>
      </c>
    </row>
    <row r="69" spans="1:36" x14ac:dyDescent="0.25">
      <c r="A69" s="5" t="s">
        <v>210</v>
      </c>
      <c r="B69" s="14" t="s">
        <v>163</v>
      </c>
      <c r="C69" s="14" t="s">
        <v>163</v>
      </c>
      <c r="D69" s="14" t="s">
        <v>163</v>
      </c>
      <c r="E69" s="14" t="s">
        <v>163</v>
      </c>
      <c r="F69" s="21">
        <v>64000</v>
      </c>
      <c r="G69" s="21">
        <v>64000</v>
      </c>
      <c r="H69" s="21">
        <v>64000</v>
      </c>
      <c r="I69" s="21">
        <v>66000</v>
      </c>
      <c r="J69" s="21">
        <v>66000</v>
      </c>
      <c r="K69" s="21">
        <v>66000</v>
      </c>
      <c r="L69" s="21">
        <v>66000</v>
      </c>
      <c r="M69" s="14" t="s">
        <v>163</v>
      </c>
      <c r="N69" s="14" t="s">
        <v>163</v>
      </c>
      <c r="O69" s="21">
        <v>2000</v>
      </c>
      <c r="P69" s="21">
        <v>28000</v>
      </c>
      <c r="Q69" s="21">
        <v>32000</v>
      </c>
      <c r="R69" s="21">
        <v>38000</v>
      </c>
      <c r="S69" s="21">
        <v>88000</v>
      </c>
      <c r="T69" s="21">
        <v>164000</v>
      </c>
      <c r="U69" s="21">
        <v>303000</v>
      </c>
      <c r="V69" s="21">
        <v>1000</v>
      </c>
      <c r="W69" s="21">
        <v>1000</v>
      </c>
      <c r="X69" s="21">
        <v>1000</v>
      </c>
      <c r="Y69" s="21">
        <v>1000</v>
      </c>
      <c r="Z69" s="21">
        <v>1000</v>
      </c>
      <c r="AA69" s="21">
        <v>1000</v>
      </c>
      <c r="AB69" s="21">
        <v>1000</v>
      </c>
      <c r="AC69" s="21">
        <v>1000</v>
      </c>
      <c r="AD69" s="21">
        <v>1000</v>
      </c>
      <c r="AE69" s="21">
        <v>1000</v>
      </c>
      <c r="AF69" s="21">
        <v>93000</v>
      </c>
      <c r="AG69" s="21">
        <v>93000</v>
      </c>
      <c r="AH69" s="21">
        <v>93000</v>
      </c>
      <c r="AI69" s="21">
        <v>93000</v>
      </c>
      <c r="AJ69" s="21">
        <v>93000</v>
      </c>
    </row>
    <row r="70" spans="1:36" x14ac:dyDescent="0.25">
      <c r="A70" s="5" t="s">
        <v>211</v>
      </c>
      <c r="B70" s="14" t="s">
        <v>163</v>
      </c>
      <c r="C70" s="21">
        <v>1692000</v>
      </c>
      <c r="D70" s="21">
        <v>247000</v>
      </c>
      <c r="E70" s="21">
        <v>617000</v>
      </c>
      <c r="F70" s="21">
        <v>1009000</v>
      </c>
      <c r="G70" s="21">
        <v>1408000</v>
      </c>
      <c r="H70" s="21">
        <v>1630000</v>
      </c>
      <c r="I70" s="21">
        <v>1848000</v>
      </c>
      <c r="J70" s="21">
        <v>2159000</v>
      </c>
      <c r="K70" s="21">
        <v>2122000</v>
      </c>
      <c r="L70" s="21">
        <v>1985000</v>
      </c>
      <c r="M70" s="21">
        <v>2506000</v>
      </c>
      <c r="N70" s="21">
        <v>2027000</v>
      </c>
      <c r="O70" s="21">
        <v>1095000</v>
      </c>
      <c r="P70" s="21">
        <v>4102000</v>
      </c>
      <c r="Q70" s="21">
        <v>3356000</v>
      </c>
      <c r="R70" s="21">
        <v>4403000</v>
      </c>
      <c r="S70" s="21">
        <v>5619000</v>
      </c>
      <c r="T70" s="21">
        <v>5059000</v>
      </c>
      <c r="U70" s="21">
        <v>4979000</v>
      </c>
      <c r="V70" s="21">
        <v>3852000</v>
      </c>
      <c r="W70" s="21">
        <v>3501000</v>
      </c>
      <c r="X70" s="21">
        <v>3478000</v>
      </c>
      <c r="Y70" s="21">
        <v>3376000</v>
      </c>
      <c r="Z70" s="21">
        <v>3800000</v>
      </c>
      <c r="AA70" s="21">
        <v>2437000</v>
      </c>
      <c r="AB70" s="21">
        <v>2275000</v>
      </c>
      <c r="AC70" s="21">
        <v>3321000</v>
      </c>
      <c r="AD70" s="21">
        <v>4203000</v>
      </c>
      <c r="AE70" s="21">
        <v>4093000</v>
      </c>
      <c r="AF70" s="21">
        <v>3879000</v>
      </c>
      <c r="AG70" s="21">
        <v>9103000</v>
      </c>
      <c r="AH70" s="21">
        <v>10311000</v>
      </c>
      <c r="AI70" s="21">
        <v>11140000</v>
      </c>
      <c r="AJ70" s="21">
        <v>11440000</v>
      </c>
    </row>
    <row r="71" spans="1:36" x14ac:dyDescent="0.25">
      <c r="A71" s="5" t="s">
        <v>212</v>
      </c>
      <c r="B71" s="14" t="s">
        <v>163</v>
      </c>
      <c r="C71" s="21">
        <v>5627000</v>
      </c>
      <c r="D71" s="21">
        <v>6251000</v>
      </c>
      <c r="E71" s="21">
        <v>6629000</v>
      </c>
      <c r="F71" s="21">
        <v>6480000</v>
      </c>
      <c r="G71" s="21">
        <v>6521000</v>
      </c>
      <c r="H71" s="21">
        <v>6580000</v>
      </c>
      <c r="I71" s="21">
        <v>6694000</v>
      </c>
      <c r="J71" s="21">
        <v>6749000</v>
      </c>
      <c r="K71" s="21">
        <v>7525000</v>
      </c>
      <c r="L71" s="21">
        <v>8711000</v>
      </c>
      <c r="M71" s="21">
        <v>8337000</v>
      </c>
      <c r="N71" s="21">
        <v>7977000</v>
      </c>
      <c r="O71" s="21">
        <v>7837000</v>
      </c>
      <c r="P71" s="21">
        <v>11064000</v>
      </c>
      <c r="Q71" s="21">
        <v>9822000</v>
      </c>
      <c r="R71" s="21">
        <v>10586000</v>
      </c>
      <c r="S71" s="21">
        <v>15632000</v>
      </c>
      <c r="T71" s="21">
        <v>16087000</v>
      </c>
      <c r="U71" s="21">
        <v>15422000</v>
      </c>
      <c r="V71" s="21">
        <v>15350000</v>
      </c>
      <c r="W71" s="21">
        <v>16073000</v>
      </c>
      <c r="X71" s="21">
        <v>15217000</v>
      </c>
      <c r="Y71" s="21">
        <v>13143000</v>
      </c>
      <c r="Z71" s="21">
        <v>12013000</v>
      </c>
      <c r="AA71" s="21">
        <v>9167000</v>
      </c>
      <c r="AB71" s="21">
        <v>9160000</v>
      </c>
      <c r="AC71" s="21">
        <v>9862000</v>
      </c>
      <c r="AD71" s="21">
        <v>10982000</v>
      </c>
      <c r="AE71" s="21">
        <v>11608000</v>
      </c>
      <c r="AF71" s="21">
        <v>12059000</v>
      </c>
      <c r="AG71" s="21">
        <v>17816000</v>
      </c>
      <c r="AH71" s="21">
        <v>19458000</v>
      </c>
      <c r="AI71" s="21">
        <v>20451000</v>
      </c>
      <c r="AJ71" s="21">
        <v>20235000</v>
      </c>
    </row>
    <row r="72" spans="1:36" x14ac:dyDescent="0.25">
      <c r="A72" s="20" t="s">
        <v>213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spans="1:36" x14ac:dyDescent="0.25">
      <c r="A73" s="5" t="s">
        <v>214</v>
      </c>
      <c r="B73" s="21">
        <v>51000000</v>
      </c>
      <c r="C73" s="21">
        <v>50948000</v>
      </c>
      <c r="D73" s="21">
        <v>56000000</v>
      </c>
      <c r="E73" s="21">
        <v>75387442</v>
      </c>
      <c r="F73" s="21">
        <v>76206339</v>
      </c>
      <c r="G73" s="21">
        <v>83214496</v>
      </c>
      <c r="H73" s="21">
        <v>84922872</v>
      </c>
      <c r="I73" s="21">
        <v>86578618</v>
      </c>
      <c r="J73" s="21">
        <v>88336439</v>
      </c>
      <c r="K73" s="21">
        <v>88398114</v>
      </c>
      <c r="L73" s="21">
        <v>88767023</v>
      </c>
      <c r="M73" s="21">
        <v>89629108</v>
      </c>
      <c r="N73" s="21">
        <v>102686272</v>
      </c>
      <c r="O73" s="21">
        <v>105141786</v>
      </c>
      <c r="P73" s="21">
        <v>114161845</v>
      </c>
      <c r="Q73" s="21">
        <v>108832518</v>
      </c>
      <c r="R73" s="21">
        <v>118487727</v>
      </c>
      <c r="S73" s="21">
        <v>117798740</v>
      </c>
      <c r="T73" s="21">
        <v>116198090</v>
      </c>
      <c r="U73" s="21">
        <v>143370146</v>
      </c>
      <c r="V73" s="21">
        <v>143758823</v>
      </c>
      <c r="W73" s="21">
        <v>144000000</v>
      </c>
      <c r="X73" s="21">
        <v>144282358</v>
      </c>
      <c r="Y73" s="21">
        <v>144687528</v>
      </c>
      <c r="Z73" s="21">
        <v>145660794</v>
      </c>
      <c r="AA73" s="21">
        <v>146284894</v>
      </c>
      <c r="AB73" s="21">
        <v>174290761</v>
      </c>
      <c r="AC73" s="21">
        <v>175883206</v>
      </c>
      <c r="AD73" s="21">
        <v>173222678</v>
      </c>
      <c r="AE73" s="21">
        <v>170047076</v>
      </c>
      <c r="AF73" s="21">
        <v>262471855</v>
      </c>
      <c r="AG73" s="21">
        <v>260930638</v>
      </c>
      <c r="AH73" s="21">
        <v>226603781</v>
      </c>
      <c r="AI73" s="21">
        <v>223730444</v>
      </c>
      <c r="AJ73" s="21">
        <v>225216524</v>
      </c>
    </row>
    <row r="74" spans="1:36" x14ac:dyDescent="0.25">
      <c r="A74" s="5" t="s">
        <v>215</v>
      </c>
      <c r="B74" s="21">
        <v>51000000</v>
      </c>
      <c r="C74" s="21">
        <v>50948000</v>
      </c>
      <c r="D74" s="21">
        <v>59742453</v>
      </c>
      <c r="E74" s="21">
        <v>70328685</v>
      </c>
      <c r="F74" s="21">
        <v>75969771</v>
      </c>
      <c r="G74" s="21">
        <v>83042305</v>
      </c>
      <c r="H74" s="21">
        <v>84885473</v>
      </c>
      <c r="I74" s="21">
        <v>86577799</v>
      </c>
      <c r="J74" s="21">
        <v>88300000</v>
      </c>
      <c r="K74" s="21">
        <v>88397714</v>
      </c>
      <c r="L74" s="21">
        <v>88767395</v>
      </c>
      <c r="M74" s="21">
        <v>89197740</v>
      </c>
      <c r="N74" s="21">
        <v>102485246</v>
      </c>
      <c r="O74" s="21">
        <v>103663467</v>
      </c>
      <c r="P74" s="21">
        <v>114003185</v>
      </c>
      <c r="Q74" s="21">
        <v>108786077</v>
      </c>
      <c r="R74" s="21">
        <v>118545101</v>
      </c>
      <c r="S74" s="21">
        <v>117995084</v>
      </c>
      <c r="T74" s="21">
        <v>116200000</v>
      </c>
      <c r="U74" s="21">
        <v>143400000</v>
      </c>
      <c r="V74" s="21">
        <v>143700000</v>
      </c>
      <c r="W74" s="21">
        <v>144000000</v>
      </c>
      <c r="X74" s="21">
        <v>144300000</v>
      </c>
      <c r="Y74" s="21">
        <v>144700000</v>
      </c>
      <c r="Z74" s="21">
        <v>145655039</v>
      </c>
      <c r="AA74" s="21">
        <v>146281044</v>
      </c>
      <c r="AB74" s="21">
        <v>173810176</v>
      </c>
      <c r="AC74" s="21">
        <v>175221210</v>
      </c>
      <c r="AD74" s="21">
        <v>174528852</v>
      </c>
      <c r="AE74" s="21">
        <v>170045869</v>
      </c>
      <c r="AF74" s="21">
        <v>220432458</v>
      </c>
      <c r="AG74" s="21">
        <v>263813388</v>
      </c>
      <c r="AH74" s="21">
        <v>228397853</v>
      </c>
      <c r="AI74" s="21">
        <v>223671216</v>
      </c>
      <c r="AJ74" s="21">
        <v>225180211</v>
      </c>
    </row>
    <row r="75" spans="1:36" x14ac:dyDescent="0.25">
      <c r="A75" s="5" t="s">
        <v>216</v>
      </c>
      <c r="B75" s="14" t="s">
        <v>163</v>
      </c>
      <c r="C75" s="28">
        <v>32.686</v>
      </c>
      <c r="D75" s="28">
        <v>3.7160000000000002</v>
      </c>
      <c r="E75" s="28">
        <v>8.3179999999999996</v>
      </c>
      <c r="F75" s="28">
        <v>12.018000000000001</v>
      </c>
      <c r="G75" s="28">
        <v>16.100000000000001</v>
      </c>
      <c r="H75" s="28">
        <v>18.366</v>
      </c>
      <c r="I75" s="28">
        <v>20.547999999999998</v>
      </c>
      <c r="J75" s="28">
        <v>23.669</v>
      </c>
      <c r="K75" s="28">
        <v>23.225000000000001</v>
      </c>
      <c r="L75" s="28">
        <v>21.617999999999999</v>
      </c>
      <c r="M75" s="28">
        <v>28.094999999999999</v>
      </c>
      <c r="N75" s="28">
        <v>19.777999999999999</v>
      </c>
      <c r="O75" s="28">
        <v>8.3640000000000008</v>
      </c>
      <c r="P75" s="28">
        <v>33.841000000000001</v>
      </c>
      <c r="Q75" s="28">
        <v>28.57</v>
      </c>
      <c r="R75" s="28">
        <v>36.820999999999998</v>
      </c>
      <c r="S75" s="28">
        <v>46.875</v>
      </c>
      <c r="T75" s="28">
        <v>42.125999999999998</v>
      </c>
      <c r="U75" s="28">
        <v>32.607999999999997</v>
      </c>
      <c r="V75" s="28">
        <v>26.798999999999999</v>
      </c>
      <c r="W75" s="28">
        <v>24.306000000000001</v>
      </c>
      <c r="X75" s="28">
        <v>24.096</v>
      </c>
      <c r="Y75" s="28">
        <v>23.324000000000002</v>
      </c>
      <c r="Z75" s="28">
        <v>26.082000000000001</v>
      </c>
      <c r="AA75" s="28">
        <v>16.652999999999999</v>
      </c>
      <c r="AB75" s="28">
        <v>13.083</v>
      </c>
      <c r="AC75" s="28">
        <v>18.946999999999999</v>
      </c>
      <c r="AD75" s="28">
        <v>24.076000000000001</v>
      </c>
      <c r="AE75" s="28">
        <v>24.064</v>
      </c>
      <c r="AF75" s="28">
        <v>17.175000000000001</v>
      </c>
      <c r="AG75" s="28">
        <v>34.152999999999999</v>
      </c>
      <c r="AH75" s="28">
        <v>44.738</v>
      </c>
      <c r="AI75" s="28">
        <v>49.389000000000003</v>
      </c>
      <c r="AJ75" s="28">
        <v>50.390999999999998</v>
      </c>
    </row>
    <row r="76" spans="1:36" x14ac:dyDescent="0.25">
      <c r="A76" s="5" t="s">
        <v>217</v>
      </c>
      <c r="B76" s="14" t="s">
        <v>163</v>
      </c>
      <c r="C76" s="21">
        <v>1667000</v>
      </c>
      <c r="D76" s="21">
        <v>222000</v>
      </c>
      <c r="E76" s="21">
        <v>585000</v>
      </c>
      <c r="F76" s="21">
        <v>913000</v>
      </c>
      <c r="G76" s="21">
        <v>1337000</v>
      </c>
      <c r="H76" s="21">
        <v>1559000</v>
      </c>
      <c r="I76" s="21">
        <v>1779000</v>
      </c>
      <c r="J76" s="21">
        <v>2090000</v>
      </c>
      <c r="K76" s="21">
        <v>2053000</v>
      </c>
      <c r="L76" s="21">
        <v>1919000</v>
      </c>
      <c r="M76" s="21">
        <v>2506000</v>
      </c>
      <c r="N76" s="21">
        <v>1613000</v>
      </c>
      <c r="O76" s="21">
        <v>390000</v>
      </c>
      <c r="P76" s="21">
        <v>3821000</v>
      </c>
      <c r="Q76" s="21">
        <v>2857000</v>
      </c>
      <c r="R76" s="21">
        <v>4365000</v>
      </c>
      <c r="S76" s="21">
        <v>3400000</v>
      </c>
      <c r="T76" s="21">
        <v>3004000</v>
      </c>
      <c r="U76" s="21">
        <v>2670000</v>
      </c>
      <c r="V76" s="21">
        <v>1816000</v>
      </c>
      <c r="W76" s="21">
        <v>1455000</v>
      </c>
      <c r="X76" s="21">
        <v>1402000</v>
      </c>
      <c r="Y76" s="21">
        <v>3104000</v>
      </c>
      <c r="Z76" s="21">
        <v>3595000</v>
      </c>
      <c r="AA76" s="21">
        <v>2240000</v>
      </c>
      <c r="AB76" s="21">
        <v>2099000</v>
      </c>
      <c r="AC76" s="21">
        <v>3153000</v>
      </c>
      <c r="AD76" s="21">
        <v>4044000</v>
      </c>
      <c r="AE76" s="21">
        <v>3942000</v>
      </c>
      <c r="AF76" s="21">
        <v>3653000</v>
      </c>
      <c r="AG76" s="21">
        <v>7571000</v>
      </c>
      <c r="AH76" s="21">
        <v>8820000</v>
      </c>
      <c r="AI76" s="21">
        <v>9691000</v>
      </c>
      <c r="AJ76" s="21">
        <v>10011000</v>
      </c>
    </row>
    <row r="77" spans="1:36" x14ac:dyDescent="0.25">
      <c r="A77" s="5" t="s">
        <v>218</v>
      </c>
      <c r="B77" s="14" t="s">
        <v>163</v>
      </c>
      <c r="C77" s="28">
        <v>32.686</v>
      </c>
      <c r="D77" s="28">
        <v>3.7160000000000002</v>
      </c>
      <c r="E77" s="28">
        <v>8.3179999999999996</v>
      </c>
      <c r="F77" s="28">
        <v>12.018000000000001</v>
      </c>
      <c r="G77" s="28">
        <v>16.100000000000001</v>
      </c>
      <c r="H77" s="28">
        <v>18.366</v>
      </c>
      <c r="I77" s="28">
        <v>20.547999999999998</v>
      </c>
      <c r="J77" s="28">
        <v>23.669</v>
      </c>
      <c r="K77" s="28">
        <v>23.225000000000001</v>
      </c>
      <c r="L77" s="28">
        <v>21.617999999999999</v>
      </c>
      <c r="M77" s="28">
        <v>28.094999999999999</v>
      </c>
      <c r="N77" s="28">
        <v>15.739000000000001</v>
      </c>
      <c r="O77" s="28">
        <v>3.762</v>
      </c>
      <c r="P77" s="28">
        <v>33.517000000000003</v>
      </c>
      <c r="Q77" s="28">
        <v>26.263000000000002</v>
      </c>
      <c r="R77" s="28">
        <v>36.820999999999998</v>
      </c>
      <c r="S77" s="28">
        <v>28.815000000000001</v>
      </c>
      <c r="T77" s="28">
        <v>25.852</v>
      </c>
      <c r="U77" s="28">
        <v>18.619</v>
      </c>
      <c r="V77" s="28">
        <v>12.637</v>
      </c>
      <c r="W77" s="28">
        <v>10.103999999999999</v>
      </c>
      <c r="X77" s="28">
        <v>9.7159999999999993</v>
      </c>
      <c r="Y77" s="28">
        <v>21.451000000000001</v>
      </c>
      <c r="Z77" s="28">
        <v>24.681999999999999</v>
      </c>
      <c r="AA77" s="28">
        <v>15.313000000000001</v>
      </c>
      <c r="AB77" s="28">
        <v>12.076000000000001</v>
      </c>
      <c r="AC77" s="28">
        <v>17.994</v>
      </c>
      <c r="AD77" s="28">
        <v>23.170999999999999</v>
      </c>
      <c r="AE77" s="28">
        <v>23.181999999999999</v>
      </c>
      <c r="AF77" s="28">
        <v>16.571999999999999</v>
      </c>
      <c r="AG77" s="28">
        <v>28.698</v>
      </c>
      <c r="AH77" s="28">
        <v>38.616999999999997</v>
      </c>
      <c r="AI77" s="28">
        <v>43.326999999999998</v>
      </c>
      <c r="AJ77" s="28">
        <v>44.457999999999998</v>
      </c>
    </row>
    <row r="78" spans="1:36" x14ac:dyDescent="0.25">
      <c r="A78" s="5" t="s">
        <v>219</v>
      </c>
      <c r="B78" s="14" t="s">
        <v>163</v>
      </c>
      <c r="C78" s="21">
        <v>2042000</v>
      </c>
      <c r="D78" s="21">
        <v>2274000</v>
      </c>
      <c r="E78" s="21">
        <v>1562000</v>
      </c>
      <c r="F78" s="21">
        <v>1453000</v>
      </c>
      <c r="G78" s="21">
        <v>1024000</v>
      </c>
      <c r="H78" s="21">
        <v>1105000</v>
      </c>
      <c r="I78" s="21">
        <v>705000</v>
      </c>
      <c r="J78" s="21">
        <v>671000</v>
      </c>
      <c r="K78" s="21">
        <v>1098000</v>
      </c>
      <c r="L78" s="21">
        <v>2628000</v>
      </c>
      <c r="M78" s="21">
        <v>1466000</v>
      </c>
      <c r="N78" s="21">
        <v>1434000</v>
      </c>
      <c r="O78" s="21">
        <v>1933000</v>
      </c>
      <c r="P78" s="21">
        <v>1371000</v>
      </c>
      <c r="Q78" s="21">
        <v>1612000</v>
      </c>
      <c r="R78" s="21">
        <v>1025000</v>
      </c>
      <c r="S78" s="21">
        <v>3257000</v>
      </c>
      <c r="T78" s="21">
        <v>3145000</v>
      </c>
      <c r="U78" s="21">
        <v>3364000</v>
      </c>
      <c r="V78" s="21">
        <v>3733000</v>
      </c>
      <c r="W78" s="21">
        <v>4228000</v>
      </c>
      <c r="X78" s="21">
        <v>3938000</v>
      </c>
      <c r="Y78" s="21">
        <v>3939000</v>
      </c>
      <c r="Z78" s="21">
        <v>3498000</v>
      </c>
      <c r="AA78" s="21">
        <v>3138000</v>
      </c>
      <c r="AB78" s="21">
        <v>3031000</v>
      </c>
      <c r="AC78" s="21">
        <v>2703000</v>
      </c>
      <c r="AD78" s="21">
        <v>2381000</v>
      </c>
      <c r="AE78" s="21">
        <v>3878000</v>
      </c>
      <c r="AF78" s="21">
        <v>5109000</v>
      </c>
      <c r="AG78" s="21">
        <v>4085000</v>
      </c>
      <c r="AH78" s="21">
        <v>4131000</v>
      </c>
      <c r="AI78" s="21">
        <v>4339000</v>
      </c>
      <c r="AJ78" s="21">
        <v>4252000</v>
      </c>
    </row>
    <row r="79" spans="1:36" x14ac:dyDescent="0.25">
      <c r="A79" s="5" t="s">
        <v>220</v>
      </c>
      <c r="B79" s="14" t="s">
        <v>163</v>
      </c>
      <c r="C79" s="21">
        <v>1963000</v>
      </c>
      <c r="D79" s="21">
        <v>2252000</v>
      </c>
      <c r="E79" s="21">
        <v>1483000</v>
      </c>
      <c r="F79" s="21">
        <v>1433000</v>
      </c>
      <c r="G79" s="21">
        <v>972000</v>
      </c>
      <c r="H79" s="21">
        <v>1082000</v>
      </c>
      <c r="I79" s="21">
        <v>687000</v>
      </c>
      <c r="J79" s="21">
        <v>662000</v>
      </c>
      <c r="K79" s="21">
        <v>1076000</v>
      </c>
      <c r="L79" s="21">
        <v>2409000</v>
      </c>
      <c r="M79" s="21">
        <v>1319000</v>
      </c>
      <c r="N79" s="21">
        <v>1191000</v>
      </c>
      <c r="O79" s="21">
        <v>1617000</v>
      </c>
      <c r="P79" s="21">
        <v>334000</v>
      </c>
      <c r="Q79" s="21">
        <v>133000</v>
      </c>
      <c r="R79" s="21">
        <v>-397000</v>
      </c>
      <c r="S79" s="21">
        <v>2856000</v>
      </c>
      <c r="T79" s="21">
        <v>2421000</v>
      </c>
      <c r="U79" s="21">
        <v>2146000</v>
      </c>
      <c r="V79" s="21">
        <v>3155000</v>
      </c>
      <c r="W79" s="21">
        <v>3820000</v>
      </c>
      <c r="X79" s="21">
        <v>3368000</v>
      </c>
      <c r="Y79" s="21">
        <v>3335000</v>
      </c>
      <c r="Z79" s="21">
        <v>2144000</v>
      </c>
      <c r="AA79" s="21">
        <v>2383000</v>
      </c>
      <c r="AB79" s="21">
        <v>1516000</v>
      </c>
      <c r="AC79" s="21">
        <v>1150000</v>
      </c>
      <c r="AD79" s="21">
        <v>1381000</v>
      </c>
      <c r="AE79" s="21">
        <v>3129000</v>
      </c>
      <c r="AF79" s="21">
        <v>3124000</v>
      </c>
      <c r="AG79" s="21">
        <v>1563000</v>
      </c>
      <c r="AH79" s="21">
        <v>627000</v>
      </c>
      <c r="AI79" s="21">
        <v>1391000</v>
      </c>
      <c r="AJ79" s="21">
        <v>2885000</v>
      </c>
    </row>
    <row r="80" spans="1:36" x14ac:dyDescent="0.25">
      <c r="A80" s="5" t="s">
        <v>221</v>
      </c>
      <c r="B80" s="14" t="s">
        <v>163</v>
      </c>
      <c r="C80" s="14" t="s">
        <v>163</v>
      </c>
      <c r="D80" s="21">
        <v>-354000</v>
      </c>
      <c r="E80" s="21">
        <v>163000</v>
      </c>
      <c r="F80" s="21">
        <v>-5000</v>
      </c>
      <c r="G80" s="21">
        <v>-760000</v>
      </c>
      <c r="H80" s="21">
        <v>-1602000</v>
      </c>
      <c r="I80" s="21">
        <v>-2461000</v>
      </c>
      <c r="J80" s="21">
        <v>-2694000</v>
      </c>
      <c r="K80" s="21">
        <v>-3279000</v>
      </c>
      <c r="L80" s="21">
        <v>-2391000</v>
      </c>
      <c r="M80" s="21">
        <v>-1225000</v>
      </c>
      <c r="N80" s="21">
        <v>391000</v>
      </c>
      <c r="O80" s="21">
        <v>522000</v>
      </c>
      <c r="P80" s="21">
        <v>381000</v>
      </c>
      <c r="Q80" s="21">
        <v>606000</v>
      </c>
      <c r="R80" s="21">
        <v>-210000</v>
      </c>
      <c r="S80" s="21">
        <v>-223000</v>
      </c>
      <c r="T80" s="21">
        <v>1985000</v>
      </c>
      <c r="U80" s="21">
        <v>1708000</v>
      </c>
      <c r="V80" s="21">
        <v>1975000</v>
      </c>
      <c r="W80" s="21">
        <v>2417000</v>
      </c>
      <c r="X80" s="21">
        <v>2688000</v>
      </c>
      <c r="Y80" s="21">
        <v>1135000</v>
      </c>
      <c r="Z80" s="21">
        <v>966000</v>
      </c>
      <c r="AA80" s="21">
        <v>735000</v>
      </c>
      <c r="AB80" s="21">
        <v>732000</v>
      </c>
      <c r="AC80" s="21">
        <v>375000</v>
      </c>
      <c r="AD80" s="21">
        <v>666000</v>
      </c>
      <c r="AE80" s="21">
        <v>416000</v>
      </c>
      <c r="AF80" s="21">
        <v>151000</v>
      </c>
      <c r="AG80" s="21">
        <v>-210000</v>
      </c>
      <c r="AH80" s="21">
        <v>16000</v>
      </c>
      <c r="AI80" s="21">
        <v>-103000</v>
      </c>
      <c r="AJ80" s="21">
        <v>-130000</v>
      </c>
    </row>
    <row r="81" spans="1:36" x14ac:dyDescent="0.25">
      <c r="A81" s="5" t="s">
        <v>222</v>
      </c>
      <c r="B81" s="14" t="s">
        <v>163</v>
      </c>
      <c r="C81" s="21">
        <v>1176000</v>
      </c>
      <c r="D81" s="21">
        <v>1152000</v>
      </c>
      <c r="E81" s="21">
        <v>1152000</v>
      </c>
      <c r="F81" s="21">
        <v>1120000</v>
      </c>
      <c r="G81" s="21">
        <v>1016000</v>
      </c>
      <c r="H81" s="21">
        <v>1072000</v>
      </c>
      <c r="I81" s="21">
        <v>1104000</v>
      </c>
      <c r="J81" s="21">
        <v>1144000</v>
      </c>
      <c r="K81" s="21">
        <v>1088000</v>
      </c>
      <c r="L81" s="21">
        <v>1144000</v>
      </c>
      <c r="M81" s="21">
        <v>1072000</v>
      </c>
      <c r="N81" s="21">
        <v>824000</v>
      </c>
      <c r="O81" s="21">
        <v>1104000</v>
      </c>
      <c r="P81" s="21">
        <v>1224000</v>
      </c>
      <c r="Q81" s="21">
        <v>1096000</v>
      </c>
      <c r="R81" s="21">
        <v>1072000</v>
      </c>
      <c r="S81" s="21">
        <v>776000</v>
      </c>
      <c r="T81" s="21">
        <v>816000</v>
      </c>
      <c r="U81" s="21">
        <v>624000</v>
      </c>
      <c r="V81" s="21">
        <v>784000</v>
      </c>
      <c r="W81" s="21">
        <v>848000</v>
      </c>
      <c r="X81" s="21">
        <v>824000</v>
      </c>
      <c r="Y81" s="21">
        <v>976000</v>
      </c>
      <c r="Z81" s="21">
        <v>984000</v>
      </c>
      <c r="AA81" s="21">
        <v>1024000</v>
      </c>
      <c r="AB81" s="21">
        <v>984000</v>
      </c>
      <c r="AC81" s="14" t="s">
        <v>163</v>
      </c>
      <c r="AD81" s="14" t="s">
        <v>163</v>
      </c>
      <c r="AE81" s="21">
        <v>736000</v>
      </c>
      <c r="AF81" s="21">
        <v>648000</v>
      </c>
      <c r="AG81" s="21">
        <v>664000</v>
      </c>
      <c r="AH81" s="21">
        <v>632000</v>
      </c>
      <c r="AI81" s="21">
        <v>552000</v>
      </c>
      <c r="AJ81" s="21">
        <v>496000</v>
      </c>
    </row>
    <row r="82" spans="1:36" x14ac:dyDescent="0.25">
      <c r="A82" s="5" t="s">
        <v>210</v>
      </c>
      <c r="B82" s="14" t="s">
        <v>163</v>
      </c>
      <c r="C82" s="14" t="s">
        <v>163</v>
      </c>
      <c r="D82" s="14" t="s">
        <v>163</v>
      </c>
      <c r="E82" s="14" t="s">
        <v>163</v>
      </c>
      <c r="F82" s="21">
        <v>64000</v>
      </c>
      <c r="G82" s="21">
        <v>64000</v>
      </c>
      <c r="H82" s="21">
        <v>64000</v>
      </c>
      <c r="I82" s="21">
        <v>66000</v>
      </c>
      <c r="J82" s="21">
        <v>66000</v>
      </c>
      <c r="K82" s="21">
        <v>66000</v>
      </c>
      <c r="L82" s="21">
        <v>66000</v>
      </c>
      <c r="M82" s="14" t="s">
        <v>163</v>
      </c>
      <c r="N82" s="14" t="s">
        <v>163</v>
      </c>
      <c r="O82" s="21">
        <v>2000</v>
      </c>
      <c r="P82" s="21">
        <v>28000</v>
      </c>
      <c r="Q82" s="21">
        <v>32000</v>
      </c>
      <c r="R82" s="21">
        <v>38000</v>
      </c>
      <c r="S82" s="21">
        <v>88000</v>
      </c>
      <c r="T82" s="21">
        <v>164000</v>
      </c>
      <c r="U82" s="21">
        <v>303000</v>
      </c>
      <c r="V82" s="21">
        <v>1000</v>
      </c>
      <c r="W82" s="21">
        <v>1000</v>
      </c>
      <c r="X82" s="21">
        <v>1000</v>
      </c>
      <c r="Y82" s="21">
        <v>1000</v>
      </c>
      <c r="Z82" s="21">
        <v>1000</v>
      </c>
      <c r="AA82" s="21">
        <v>1000</v>
      </c>
      <c r="AB82" s="21">
        <v>1000</v>
      </c>
      <c r="AC82" s="21">
        <v>1000</v>
      </c>
      <c r="AD82" s="21">
        <v>1000</v>
      </c>
      <c r="AE82" s="21">
        <v>1000</v>
      </c>
      <c r="AF82" s="21">
        <v>93000</v>
      </c>
      <c r="AG82" s="21">
        <v>93000</v>
      </c>
      <c r="AH82" s="21">
        <v>93000</v>
      </c>
      <c r="AI82" s="21">
        <v>93000</v>
      </c>
      <c r="AJ82" s="21">
        <v>93000</v>
      </c>
    </row>
    <row r="83" spans="1:36" x14ac:dyDescent="0.25">
      <c r="A83" s="5" t="s">
        <v>223</v>
      </c>
      <c r="B83" s="14" t="s">
        <v>163</v>
      </c>
      <c r="C83" s="14" t="s">
        <v>163</v>
      </c>
      <c r="D83" s="21">
        <v>519000</v>
      </c>
      <c r="E83" s="21">
        <v>522000</v>
      </c>
      <c r="F83" s="21">
        <v>460000</v>
      </c>
      <c r="G83" s="21">
        <v>468000</v>
      </c>
      <c r="H83" s="21">
        <v>412000</v>
      </c>
      <c r="I83" s="21">
        <v>472000</v>
      </c>
      <c r="J83" s="21">
        <v>564000</v>
      </c>
      <c r="K83" s="21">
        <v>397000</v>
      </c>
      <c r="L83" s="21">
        <v>325000</v>
      </c>
      <c r="M83" s="21">
        <v>233000</v>
      </c>
      <c r="N83" s="21">
        <v>269000</v>
      </c>
      <c r="O83" s="21">
        <v>248000</v>
      </c>
      <c r="P83" s="21">
        <v>256000</v>
      </c>
      <c r="Q83" s="21">
        <v>250000</v>
      </c>
      <c r="R83" s="21">
        <v>282000</v>
      </c>
      <c r="S83" s="21">
        <v>653000</v>
      </c>
      <c r="T83" s="21">
        <v>672000</v>
      </c>
      <c r="U83" s="21">
        <v>668000</v>
      </c>
      <c r="V83" s="21">
        <v>623000</v>
      </c>
      <c r="W83" s="21">
        <v>638000</v>
      </c>
      <c r="X83" s="21">
        <v>570000</v>
      </c>
      <c r="Y83" s="21">
        <v>558000</v>
      </c>
      <c r="Z83" s="21">
        <v>532000</v>
      </c>
      <c r="AA83" s="21">
        <v>502000</v>
      </c>
      <c r="AB83" s="21">
        <v>499000</v>
      </c>
      <c r="AC83" s="21">
        <v>457000</v>
      </c>
      <c r="AD83" s="21">
        <v>485000</v>
      </c>
      <c r="AE83" s="21">
        <v>1272000</v>
      </c>
      <c r="AF83" s="21">
        <v>1140000</v>
      </c>
      <c r="AG83" s="21">
        <v>660000</v>
      </c>
      <c r="AH83" s="21">
        <v>810000</v>
      </c>
      <c r="AI83" s="21">
        <v>740000</v>
      </c>
      <c r="AJ83" s="21">
        <v>734000</v>
      </c>
    </row>
    <row r="84" spans="1:36" x14ac:dyDescent="0.25">
      <c r="A84" s="5" t="s">
        <v>224</v>
      </c>
      <c r="B84" s="14" t="s">
        <v>163</v>
      </c>
      <c r="C84" s="14" t="s">
        <v>163</v>
      </c>
      <c r="D84" s="21">
        <v>-390000</v>
      </c>
      <c r="E84" s="21">
        <v>-280000</v>
      </c>
      <c r="F84" s="21">
        <v>-260000</v>
      </c>
      <c r="G84" s="21">
        <v>-320000</v>
      </c>
      <c r="H84" s="21">
        <v>-340000</v>
      </c>
      <c r="I84" s="21">
        <v>-300000</v>
      </c>
      <c r="J84" s="21">
        <v>-310000</v>
      </c>
      <c r="K84" s="21">
        <v>-370000</v>
      </c>
      <c r="L84" s="21">
        <v>-380000</v>
      </c>
      <c r="M84" s="21">
        <v>-410000</v>
      </c>
      <c r="N84" s="21">
        <v>-310000</v>
      </c>
      <c r="O84" s="21">
        <v>-270000</v>
      </c>
      <c r="P84" s="21">
        <v>-660000</v>
      </c>
      <c r="Q84" s="21">
        <v>-680000</v>
      </c>
      <c r="R84" s="21">
        <v>-900000</v>
      </c>
      <c r="S84" s="21">
        <v>-910000</v>
      </c>
      <c r="T84" s="21">
        <v>-1100000</v>
      </c>
      <c r="U84" s="21">
        <v>-1100000</v>
      </c>
      <c r="V84" s="14" t="s">
        <v>163</v>
      </c>
      <c r="W84" s="21">
        <v>-1100000</v>
      </c>
      <c r="X84" s="21">
        <v>-1000000</v>
      </c>
      <c r="Y84" s="21">
        <v>-1000000</v>
      </c>
      <c r="Z84" s="21">
        <v>-1000000</v>
      </c>
      <c r="AA84" s="21">
        <v>-900000</v>
      </c>
      <c r="AB84" s="21">
        <v>-489000</v>
      </c>
      <c r="AC84" s="21">
        <v>-802000</v>
      </c>
      <c r="AD84" s="21">
        <v>-1038000</v>
      </c>
      <c r="AE84" s="21">
        <v>-735000</v>
      </c>
      <c r="AF84" s="21">
        <v>-848000</v>
      </c>
      <c r="AG84" s="21">
        <v>-896000</v>
      </c>
      <c r="AH84" s="21">
        <v>-1154000</v>
      </c>
      <c r="AI84" s="21">
        <v>-1248000</v>
      </c>
      <c r="AJ84" s="21">
        <v>-1143000</v>
      </c>
    </row>
    <row r="85" spans="1:36" x14ac:dyDescent="0.25">
      <c r="A85" s="5" t="s">
        <v>225</v>
      </c>
      <c r="B85" s="14" t="s">
        <v>163</v>
      </c>
      <c r="C85" s="21">
        <v>161000</v>
      </c>
      <c r="D85" s="21">
        <v>172000</v>
      </c>
      <c r="E85" s="21">
        <v>108000</v>
      </c>
      <c r="F85" s="21">
        <v>44000</v>
      </c>
      <c r="G85" s="21">
        <v>89000</v>
      </c>
      <c r="H85" s="21">
        <v>124000</v>
      </c>
      <c r="I85" s="21">
        <v>130000</v>
      </c>
      <c r="J85" s="21">
        <v>185000</v>
      </c>
      <c r="K85" s="21">
        <v>101000</v>
      </c>
      <c r="L85" s="21">
        <v>214000</v>
      </c>
      <c r="M85" s="21">
        <v>184000</v>
      </c>
      <c r="N85" s="21">
        <v>228000</v>
      </c>
      <c r="O85" s="21">
        <v>212000</v>
      </c>
      <c r="P85" s="21">
        <v>308000</v>
      </c>
      <c r="Q85" s="21">
        <v>428000</v>
      </c>
      <c r="R85" s="21">
        <v>560000</v>
      </c>
      <c r="S85" s="21">
        <v>798000</v>
      </c>
      <c r="T85" s="21">
        <v>1322000</v>
      </c>
      <c r="U85" s="21">
        <v>481000</v>
      </c>
      <c r="V85" s="21">
        <v>949000</v>
      </c>
      <c r="W85" s="21">
        <v>1178000</v>
      </c>
      <c r="X85" s="21">
        <v>945000</v>
      </c>
      <c r="Y85" s="21">
        <v>1011000</v>
      </c>
      <c r="Z85" s="21">
        <v>801000</v>
      </c>
      <c r="AA85" s="21">
        <v>766000</v>
      </c>
      <c r="AB85" s="21">
        <v>449000</v>
      </c>
      <c r="AC85" s="21">
        <v>527000</v>
      </c>
      <c r="AD85" s="21">
        <v>605000</v>
      </c>
      <c r="AE85" s="21">
        <v>628000</v>
      </c>
      <c r="AF85" s="21">
        <v>416000</v>
      </c>
      <c r="AG85" s="21">
        <v>713000</v>
      </c>
      <c r="AH85" s="21">
        <v>1098000</v>
      </c>
      <c r="AI85" s="21">
        <v>773000</v>
      </c>
      <c r="AJ85" s="21">
        <v>959000</v>
      </c>
    </row>
    <row r="86" spans="1:36" x14ac:dyDescent="0.25">
      <c r="A86" s="5" t="s">
        <v>226</v>
      </c>
      <c r="B86" s="14" t="s">
        <v>163</v>
      </c>
      <c r="C86" s="21">
        <v>283000</v>
      </c>
      <c r="D86" s="21">
        <v>273000</v>
      </c>
      <c r="E86" s="21">
        <v>329000</v>
      </c>
      <c r="F86" s="21">
        <v>336000</v>
      </c>
      <c r="G86" s="21">
        <v>300000</v>
      </c>
      <c r="H86" s="21">
        <v>309000</v>
      </c>
      <c r="I86" s="21">
        <v>331000</v>
      </c>
      <c r="J86" s="21">
        <v>282000</v>
      </c>
      <c r="K86" s="21">
        <v>392000</v>
      </c>
      <c r="L86" s="21">
        <v>429000</v>
      </c>
      <c r="M86" s="21">
        <v>408000</v>
      </c>
      <c r="N86" s="21">
        <v>472000</v>
      </c>
      <c r="O86" s="21">
        <v>575000</v>
      </c>
      <c r="P86" s="21">
        <v>591000</v>
      </c>
      <c r="Q86" s="21">
        <v>568000</v>
      </c>
      <c r="R86" s="21">
        <v>597000</v>
      </c>
      <c r="S86" s="21">
        <v>827000</v>
      </c>
      <c r="T86" s="21">
        <v>552000</v>
      </c>
      <c r="U86" s="21">
        <v>741000</v>
      </c>
      <c r="V86" s="21">
        <v>851000</v>
      </c>
      <c r="W86" s="21">
        <v>953000</v>
      </c>
      <c r="X86" s="21">
        <v>883000</v>
      </c>
      <c r="Y86" s="21">
        <v>1023000</v>
      </c>
      <c r="Z86" s="21">
        <v>1053000</v>
      </c>
      <c r="AA86" s="21">
        <v>841000</v>
      </c>
      <c r="AB86" s="21">
        <v>686000</v>
      </c>
      <c r="AC86" s="21">
        <v>796000</v>
      </c>
      <c r="AD86" s="21">
        <v>1021000</v>
      </c>
      <c r="AE86" s="21">
        <v>720000</v>
      </c>
      <c r="AF86" s="21">
        <v>633000</v>
      </c>
      <c r="AG86" s="21">
        <v>1056000</v>
      </c>
      <c r="AH86" s="21">
        <v>811000</v>
      </c>
      <c r="AI86" s="21">
        <v>877000</v>
      </c>
      <c r="AJ86" s="21">
        <v>828000</v>
      </c>
    </row>
    <row r="87" spans="1:36" x14ac:dyDescent="0.25">
      <c r="A87" s="5" t="s">
        <v>227</v>
      </c>
      <c r="B87" s="14" t="s">
        <v>163</v>
      </c>
      <c r="C87" s="21">
        <v>109000</v>
      </c>
      <c r="D87" s="21">
        <v>123000</v>
      </c>
      <c r="E87" s="21">
        <v>125000</v>
      </c>
      <c r="F87" s="21">
        <v>128000</v>
      </c>
      <c r="G87" s="21">
        <v>143000</v>
      </c>
      <c r="H87" s="21">
        <v>162000</v>
      </c>
      <c r="I87" s="21">
        <v>187000</v>
      </c>
      <c r="J87" s="21">
        <v>182000</v>
      </c>
      <c r="K87" s="21">
        <v>193000</v>
      </c>
      <c r="L87" s="21">
        <v>210000</v>
      </c>
      <c r="M87" s="21">
        <v>210000</v>
      </c>
      <c r="N87" s="21">
        <v>271000</v>
      </c>
      <c r="O87" s="21">
        <v>427000</v>
      </c>
      <c r="P87" s="21">
        <v>333000</v>
      </c>
      <c r="Q87" s="21">
        <v>391000</v>
      </c>
      <c r="R87" s="21">
        <v>368000</v>
      </c>
      <c r="S87" s="21">
        <v>548000</v>
      </c>
      <c r="T87" s="21">
        <v>518000</v>
      </c>
      <c r="U87" s="21">
        <v>336000</v>
      </c>
      <c r="V87" s="21">
        <v>449000</v>
      </c>
      <c r="W87" s="21">
        <v>548000</v>
      </c>
      <c r="X87" s="21">
        <v>573000</v>
      </c>
      <c r="Y87" s="21">
        <v>558000</v>
      </c>
      <c r="Z87" s="21">
        <v>563000</v>
      </c>
      <c r="AA87" s="21">
        <v>392000</v>
      </c>
      <c r="AB87" s="21">
        <v>375000</v>
      </c>
      <c r="AC87" s="21">
        <v>356000</v>
      </c>
      <c r="AD87" s="21">
        <v>404000</v>
      </c>
      <c r="AE87" s="21">
        <v>376000</v>
      </c>
      <c r="AF87" s="21">
        <v>300000</v>
      </c>
      <c r="AG87" s="21">
        <v>388000</v>
      </c>
      <c r="AH87" s="21">
        <v>398000</v>
      </c>
      <c r="AI87" s="21">
        <v>428000</v>
      </c>
      <c r="AJ87" s="21">
        <v>331000</v>
      </c>
    </row>
    <row r="88" spans="1:36" x14ac:dyDescent="0.25">
      <c r="A88" s="5" t="s">
        <v>228</v>
      </c>
      <c r="B88" s="14" t="s">
        <v>163</v>
      </c>
      <c r="C88" s="21">
        <v>70000</v>
      </c>
      <c r="D88" s="21">
        <v>76000</v>
      </c>
      <c r="E88" s="21">
        <v>67000</v>
      </c>
      <c r="F88" s="21">
        <v>87000</v>
      </c>
      <c r="G88" s="21">
        <v>69000</v>
      </c>
      <c r="H88" s="21">
        <v>53000</v>
      </c>
      <c r="I88" s="21">
        <v>57000</v>
      </c>
      <c r="J88" s="21">
        <v>49000</v>
      </c>
      <c r="K88" s="21">
        <v>57000</v>
      </c>
      <c r="L88" s="21">
        <v>93000</v>
      </c>
      <c r="M88" s="21">
        <v>68000</v>
      </c>
      <c r="N88" s="21">
        <v>59000</v>
      </c>
      <c r="O88" s="21">
        <v>69000</v>
      </c>
      <c r="P88" s="21">
        <v>73000</v>
      </c>
      <c r="Q88" s="21">
        <v>79000</v>
      </c>
      <c r="R88" s="21">
        <v>79000</v>
      </c>
      <c r="S88" s="21">
        <v>106000</v>
      </c>
      <c r="T88" s="21">
        <v>100000</v>
      </c>
      <c r="U88" s="21">
        <v>121000</v>
      </c>
      <c r="V88" s="21">
        <v>103000</v>
      </c>
      <c r="W88" s="21">
        <v>96000</v>
      </c>
      <c r="X88" s="21">
        <v>102000</v>
      </c>
      <c r="Y88" s="21">
        <v>96000</v>
      </c>
      <c r="Z88" s="21">
        <v>79000</v>
      </c>
      <c r="AA88" s="21">
        <v>75000</v>
      </c>
      <c r="AB88" s="21">
        <v>63000</v>
      </c>
      <c r="AC88" s="21">
        <v>59000</v>
      </c>
      <c r="AD88" s="21">
        <v>62000</v>
      </c>
      <c r="AE88" s="21">
        <v>61000</v>
      </c>
      <c r="AF88" s="21">
        <v>53000</v>
      </c>
      <c r="AG88" s="21">
        <v>53000</v>
      </c>
      <c r="AH88" s="21">
        <v>52000</v>
      </c>
      <c r="AI88" s="21">
        <v>50000</v>
      </c>
      <c r="AJ88" s="21">
        <v>50000</v>
      </c>
    </row>
    <row r="89" spans="1:36" x14ac:dyDescent="0.25">
      <c r="A89" s="5" t="s">
        <v>229</v>
      </c>
      <c r="B89" s="14" t="s">
        <v>163</v>
      </c>
      <c r="C89" s="14" t="s">
        <v>163</v>
      </c>
      <c r="D89" s="21">
        <v>159000</v>
      </c>
      <c r="E89" s="21">
        <v>154000</v>
      </c>
      <c r="F89" s="21">
        <v>155000</v>
      </c>
      <c r="G89" s="21">
        <v>151000</v>
      </c>
      <c r="H89" s="21">
        <v>155000</v>
      </c>
      <c r="I89" s="21">
        <v>161000</v>
      </c>
      <c r="J89" s="21">
        <v>151000</v>
      </c>
      <c r="K89" s="21">
        <v>152000</v>
      </c>
      <c r="L89" s="21">
        <v>161000</v>
      </c>
      <c r="M89" s="21">
        <v>193000</v>
      </c>
      <c r="N89" s="21">
        <v>185000</v>
      </c>
      <c r="O89" s="21">
        <v>170000</v>
      </c>
      <c r="P89" s="21">
        <v>175000</v>
      </c>
      <c r="Q89" s="21">
        <v>165000</v>
      </c>
      <c r="R89" s="21">
        <v>175000</v>
      </c>
      <c r="S89" s="21">
        <v>295000</v>
      </c>
      <c r="T89" s="21">
        <v>278000</v>
      </c>
      <c r="U89" s="21">
        <v>248000</v>
      </c>
      <c r="V89" s="21">
        <v>270000</v>
      </c>
      <c r="W89" s="21">
        <v>268000</v>
      </c>
      <c r="X89" s="21">
        <v>264000</v>
      </c>
      <c r="Y89" s="21">
        <v>251000</v>
      </c>
      <c r="Z89" s="21">
        <v>196000</v>
      </c>
      <c r="AA89" s="21">
        <v>198000</v>
      </c>
      <c r="AB89" s="21">
        <v>204000</v>
      </c>
      <c r="AC89" s="21">
        <v>208000</v>
      </c>
      <c r="AD89" s="21">
        <v>207000</v>
      </c>
      <c r="AE89" s="21">
        <v>202000</v>
      </c>
      <c r="AF89" s="21">
        <v>237000</v>
      </c>
      <c r="AG89" s="21">
        <v>213000</v>
      </c>
      <c r="AH89" s="21">
        <v>210000</v>
      </c>
      <c r="AI89" s="21">
        <v>216000</v>
      </c>
      <c r="AJ89" s="21">
        <v>257000</v>
      </c>
    </row>
    <row r="90" spans="1:36" x14ac:dyDescent="0.25">
      <c r="A90" s="5" t="s">
        <v>230</v>
      </c>
      <c r="B90" s="14" t="s">
        <v>163</v>
      </c>
      <c r="C90" s="14" t="s">
        <v>163</v>
      </c>
      <c r="D90" s="21">
        <v>536000</v>
      </c>
      <c r="E90" s="21">
        <v>521000</v>
      </c>
      <c r="F90" s="21">
        <v>513000</v>
      </c>
      <c r="G90" s="21">
        <v>491000</v>
      </c>
      <c r="H90" s="21">
        <v>471000</v>
      </c>
      <c r="I90" s="21">
        <v>477000</v>
      </c>
      <c r="J90" s="21">
        <v>469000</v>
      </c>
      <c r="K90" s="21">
        <v>484000</v>
      </c>
      <c r="L90" s="21">
        <v>602000</v>
      </c>
      <c r="M90" s="21">
        <v>572000</v>
      </c>
      <c r="N90" s="21">
        <v>619000</v>
      </c>
      <c r="O90" s="21">
        <v>662000</v>
      </c>
      <c r="P90" s="21">
        <v>673000</v>
      </c>
      <c r="Q90" s="21">
        <v>727000</v>
      </c>
      <c r="R90" s="21">
        <v>841000</v>
      </c>
      <c r="S90" s="21">
        <v>1448000</v>
      </c>
      <c r="T90" s="21">
        <v>1331000</v>
      </c>
      <c r="U90" s="21">
        <v>1353000</v>
      </c>
      <c r="V90" s="21">
        <v>1358000</v>
      </c>
      <c r="W90" s="21">
        <v>1409000</v>
      </c>
      <c r="X90" s="21">
        <v>1394000</v>
      </c>
      <c r="Y90" s="21">
        <v>1367000</v>
      </c>
      <c r="Z90" s="21">
        <v>1101000</v>
      </c>
      <c r="AA90" s="21">
        <v>1036000</v>
      </c>
      <c r="AB90" s="21">
        <v>1051000</v>
      </c>
      <c r="AC90" s="21">
        <v>1109000</v>
      </c>
      <c r="AD90" s="21">
        <v>1098000</v>
      </c>
      <c r="AE90" s="21">
        <v>1105000</v>
      </c>
      <c r="AF90" s="21">
        <v>1154000</v>
      </c>
      <c r="AG90" s="21">
        <v>1558000</v>
      </c>
      <c r="AH90" s="21">
        <v>1530000</v>
      </c>
      <c r="AI90" s="21">
        <v>1854000</v>
      </c>
      <c r="AJ90" s="21">
        <v>2883000</v>
      </c>
    </row>
    <row r="91" spans="1:36" x14ac:dyDescent="0.25">
      <c r="A91" s="5" t="s">
        <v>231</v>
      </c>
      <c r="B91" s="14" t="s">
        <v>163</v>
      </c>
      <c r="C91" s="14" t="s">
        <v>163</v>
      </c>
      <c r="D91" s="21">
        <v>8147000</v>
      </c>
      <c r="E91" s="21">
        <v>7962000</v>
      </c>
      <c r="F91" s="21">
        <v>7822000</v>
      </c>
      <c r="G91" s="21">
        <v>7779000</v>
      </c>
      <c r="H91" s="21">
        <v>7721000</v>
      </c>
      <c r="I91" s="21">
        <v>7657000</v>
      </c>
      <c r="J91" s="21">
        <v>7819000</v>
      </c>
      <c r="K91" s="21">
        <v>8112000</v>
      </c>
      <c r="L91" s="21">
        <v>8507000</v>
      </c>
      <c r="M91" s="21">
        <v>9185000</v>
      </c>
      <c r="N91" s="21">
        <v>9269000</v>
      </c>
      <c r="O91" s="21">
        <v>9539000</v>
      </c>
      <c r="P91" s="21">
        <v>10016000</v>
      </c>
      <c r="Q91" s="21">
        <v>10424000</v>
      </c>
      <c r="R91" s="21">
        <v>11181000</v>
      </c>
      <c r="S91" s="21">
        <v>12869000</v>
      </c>
      <c r="T91" s="21">
        <v>13342000</v>
      </c>
      <c r="U91" s="21">
        <v>13921000</v>
      </c>
      <c r="V91" s="21">
        <v>13508000</v>
      </c>
      <c r="W91" s="21">
        <v>14107000</v>
      </c>
      <c r="X91" s="21">
        <v>14408000</v>
      </c>
      <c r="Y91" s="21">
        <v>14386000</v>
      </c>
      <c r="Z91" s="21">
        <v>13072000</v>
      </c>
      <c r="AA91" s="21">
        <v>12220000</v>
      </c>
      <c r="AB91" s="21">
        <v>12128000</v>
      </c>
      <c r="AC91" s="21">
        <v>12375000</v>
      </c>
      <c r="AD91" s="21">
        <v>13175000</v>
      </c>
      <c r="AE91" s="21">
        <v>14067000</v>
      </c>
      <c r="AF91" s="21">
        <v>14791000</v>
      </c>
      <c r="AG91" s="21">
        <v>16062000</v>
      </c>
      <c r="AH91" s="21">
        <v>15995000</v>
      </c>
      <c r="AI91" s="21">
        <v>16903000</v>
      </c>
      <c r="AJ91" s="21">
        <v>19892000</v>
      </c>
    </row>
    <row r="92" spans="1:36" x14ac:dyDescent="0.25">
      <c r="A92" s="5" t="s">
        <v>232</v>
      </c>
      <c r="B92" s="14" t="s">
        <v>163</v>
      </c>
      <c r="C92" s="14" t="s">
        <v>163</v>
      </c>
      <c r="D92" s="14" t="s">
        <v>163</v>
      </c>
      <c r="E92" s="14" t="s">
        <v>163</v>
      </c>
      <c r="F92" s="14" t="s">
        <v>163</v>
      </c>
      <c r="G92" s="14" t="s">
        <v>163</v>
      </c>
      <c r="H92" s="14" t="s">
        <v>163</v>
      </c>
      <c r="I92" s="14" t="s">
        <v>163</v>
      </c>
      <c r="J92" s="14" t="s">
        <v>163</v>
      </c>
      <c r="K92" s="14" t="s">
        <v>163</v>
      </c>
      <c r="L92" s="14" t="s">
        <v>163</v>
      </c>
      <c r="M92" s="14" t="s">
        <v>163</v>
      </c>
      <c r="N92" s="14" t="s">
        <v>163</v>
      </c>
      <c r="O92" s="14" t="s">
        <v>163</v>
      </c>
      <c r="P92" s="14" t="s">
        <v>163</v>
      </c>
      <c r="Q92" s="14" t="s">
        <v>163</v>
      </c>
      <c r="R92" s="14" t="s">
        <v>163</v>
      </c>
      <c r="S92" s="14" t="s">
        <v>163</v>
      </c>
      <c r="T92" s="14" t="s">
        <v>163</v>
      </c>
      <c r="U92" s="14" t="s">
        <v>163</v>
      </c>
      <c r="V92" s="14" t="s">
        <v>163</v>
      </c>
      <c r="W92" s="14" t="s">
        <v>163</v>
      </c>
      <c r="X92" s="14" t="s">
        <v>163</v>
      </c>
      <c r="Y92" s="14" t="s">
        <v>163</v>
      </c>
      <c r="Z92" s="14" t="s">
        <v>163</v>
      </c>
      <c r="AA92" s="14" t="s">
        <v>163</v>
      </c>
      <c r="AB92" s="14" t="s">
        <v>163</v>
      </c>
      <c r="AC92" s="21">
        <v>576000</v>
      </c>
      <c r="AD92" s="21">
        <v>706000</v>
      </c>
      <c r="AE92" s="21">
        <v>833000</v>
      </c>
      <c r="AF92" s="21">
        <v>613000</v>
      </c>
      <c r="AG92" s="21">
        <v>885000</v>
      </c>
      <c r="AH92" s="21">
        <v>2470000</v>
      </c>
      <c r="AI92" s="21">
        <v>3871000</v>
      </c>
      <c r="AJ92" s="21">
        <v>1971000</v>
      </c>
    </row>
    <row r="93" spans="1:36" x14ac:dyDescent="0.25">
      <c r="A93" s="5" t="s">
        <v>233</v>
      </c>
      <c r="B93" s="14" t="s">
        <v>163</v>
      </c>
      <c r="C93" s="14" t="s">
        <v>163</v>
      </c>
      <c r="D93" s="14" t="s">
        <v>163</v>
      </c>
      <c r="E93" s="21">
        <v>21892</v>
      </c>
      <c r="F93" s="21">
        <v>20711</v>
      </c>
      <c r="G93" s="21">
        <v>20510</v>
      </c>
      <c r="H93" s="21">
        <v>20433</v>
      </c>
      <c r="I93" s="21">
        <v>20310</v>
      </c>
      <c r="J93" s="21">
        <v>19169</v>
      </c>
      <c r="K93" s="21">
        <v>18666</v>
      </c>
      <c r="L93" s="21">
        <v>35028</v>
      </c>
      <c r="M93" s="21">
        <v>37161</v>
      </c>
      <c r="N93" s="21">
        <v>36251</v>
      </c>
      <c r="O93" s="21">
        <v>47000</v>
      </c>
      <c r="P93" s="21">
        <v>48000</v>
      </c>
      <c r="Q93" s="21">
        <v>46000</v>
      </c>
      <c r="R93" s="21">
        <v>44000</v>
      </c>
      <c r="S93" s="21">
        <v>49000</v>
      </c>
      <c r="T93" s="21">
        <v>49000</v>
      </c>
      <c r="U93" s="21">
        <v>43000</v>
      </c>
      <c r="V93" s="21">
        <v>42000</v>
      </c>
      <c r="W93" s="21">
        <v>43000</v>
      </c>
      <c r="X93" s="21">
        <v>39000</v>
      </c>
      <c r="Y93" s="21">
        <v>38500</v>
      </c>
      <c r="Z93" s="21">
        <v>35500</v>
      </c>
      <c r="AA93" s="21">
        <v>33200</v>
      </c>
      <c r="AB93" s="21">
        <v>29800</v>
      </c>
      <c r="AC93" s="21">
        <v>29200</v>
      </c>
      <c r="AD93" s="21">
        <v>29000</v>
      </c>
      <c r="AE93" s="21">
        <v>27500</v>
      </c>
      <c r="AF93" s="21">
        <v>23350</v>
      </c>
      <c r="AG93" s="21">
        <v>24540</v>
      </c>
      <c r="AH93" s="21">
        <v>22740</v>
      </c>
      <c r="AI93" s="21">
        <v>21803</v>
      </c>
      <c r="AJ93" s="21">
        <v>22053</v>
      </c>
    </row>
    <row r="94" spans="1:36" x14ac:dyDescent="0.25">
      <c r="A94" s="5" t="s">
        <v>234</v>
      </c>
      <c r="B94" s="14" t="s">
        <v>163</v>
      </c>
      <c r="C94" s="14" t="s">
        <v>163</v>
      </c>
      <c r="D94" s="21">
        <v>126000</v>
      </c>
      <c r="E94" s="21">
        <v>117000</v>
      </c>
      <c r="F94" s="21">
        <v>116000</v>
      </c>
      <c r="G94" s="21">
        <v>116000</v>
      </c>
      <c r="H94" s="21">
        <v>116000</v>
      </c>
      <c r="I94" s="21">
        <v>109000</v>
      </c>
      <c r="J94" s="21">
        <v>108000</v>
      </c>
      <c r="K94" s="21">
        <v>105000</v>
      </c>
      <c r="L94" s="21">
        <v>98000</v>
      </c>
      <c r="M94" s="21">
        <v>105000</v>
      </c>
      <c r="N94" s="21">
        <v>103000</v>
      </c>
      <c r="O94" s="14" t="s">
        <v>163</v>
      </c>
      <c r="P94" s="14" t="s">
        <v>163</v>
      </c>
      <c r="Q94" s="14" t="s">
        <v>163</v>
      </c>
      <c r="R94" s="14" t="s">
        <v>163</v>
      </c>
      <c r="S94" s="21">
        <v>176000</v>
      </c>
      <c r="T94" s="21">
        <v>175000</v>
      </c>
      <c r="U94" s="21">
        <v>175000</v>
      </c>
      <c r="V94" s="21">
        <v>176000</v>
      </c>
      <c r="W94" s="21">
        <v>157000</v>
      </c>
      <c r="X94" s="21">
        <v>131000</v>
      </c>
      <c r="Y94" s="21">
        <v>37000</v>
      </c>
      <c r="Z94" s="21">
        <v>36000</v>
      </c>
      <c r="AA94" s="21">
        <v>36000</v>
      </c>
      <c r="AB94" s="21">
        <v>36000</v>
      </c>
      <c r="AC94" s="21">
        <v>36000</v>
      </c>
      <c r="AD94" s="21">
        <v>36000</v>
      </c>
      <c r="AE94" s="14" t="s">
        <v>163</v>
      </c>
      <c r="AF94" s="14" t="s">
        <v>163</v>
      </c>
      <c r="AG94" s="14" t="s">
        <v>163</v>
      </c>
      <c r="AH94" s="14" t="s">
        <v>163</v>
      </c>
      <c r="AI94" s="14" t="s">
        <v>163</v>
      </c>
      <c r="AJ94" s="14" t="s">
        <v>163</v>
      </c>
    </row>
    <row r="95" spans="1:36" x14ac:dyDescent="0.25">
      <c r="A95" s="5" t="s">
        <v>235</v>
      </c>
      <c r="B95" s="14" t="s">
        <v>163</v>
      </c>
      <c r="C95" s="14" t="s">
        <v>163</v>
      </c>
      <c r="D95" s="21">
        <v>-37000</v>
      </c>
      <c r="E95" s="21">
        <v>-41000</v>
      </c>
      <c r="F95" s="21">
        <v>-49000</v>
      </c>
      <c r="G95" s="21">
        <v>-57000</v>
      </c>
      <c r="H95" s="21">
        <v>-67000</v>
      </c>
      <c r="I95" s="21">
        <v>-70000</v>
      </c>
      <c r="J95" s="21">
        <v>-77000</v>
      </c>
      <c r="K95" s="21">
        <v>-81000</v>
      </c>
      <c r="L95" s="21">
        <v>-79000</v>
      </c>
      <c r="M95" s="21">
        <v>-88000</v>
      </c>
      <c r="N95" s="21">
        <v>-95000</v>
      </c>
      <c r="O95" s="14" t="s">
        <v>163</v>
      </c>
      <c r="P95" s="14" t="s">
        <v>163</v>
      </c>
      <c r="Q95" s="14" t="s">
        <v>163</v>
      </c>
      <c r="R95" s="14" t="s">
        <v>163</v>
      </c>
      <c r="S95" s="21">
        <v>-127000</v>
      </c>
      <c r="T95" s="21">
        <v>-136000</v>
      </c>
      <c r="U95" s="21">
        <v>-145000</v>
      </c>
      <c r="V95" s="21">
        <v>-154000</v>
      </c>
      <c r="W95" s="21">
        <v>-156000</v>
      </c>
      <c r="X95" s="21">
        <v>-95000</v>
      </c>
      <c r="Y95" s="21">
        <v>-5000</v>
      </c>
      <c r="Z95" s="21">
        <v>-7000</v>
      </c>
      <c r="AA95" s="21">
        <v>-14000</v>
      </c>
      <c r="AB95" s="21">
        <v>-16000</v>
      </c>
      <c r="AC95" s="21">
        <v>-18000</v>
      </c>
      <c r="AD95" s="21">
        <v>-20000</v>
      </c>
      <c r="AE95" s="14" t="s">
        <v>163</v>
      </c>
      <c r="AF95" s="14" t="s">
        <v>163</v>
      </c>
      <c r="AG95" s="14" t="s">
        <v>163</v>
      </c>
      <c r="AH95" s="14" t="s">
        <v>163</v>
      </c>
      <c r="AI95" s="14" t="s">
        <v>163</v>
      </c>
      <c r="AJ95" s="14" t="s">
        <v>163</v>
      </c>
    </row>
    <row r="96" spans="1:36" x14ac:dyDescent="0.25">
      <c r="A96" s="5" t="s">
        <v>236</v>
      </c>
      <c r="B96" s="14" t="s">
        <v>163</v>
      </c>
      <c r="C96" s="14" t="s">
        <v>163</v>
      </c>
      <c r="D96" s="21">
        <v>5000</v>
      </c>
      <c r="E96" s="21">
        <v>5000</v>
      </c>
      <c r="F96" s="21">
        <v>5000</v>
      </c>
      <c r="G96" s="21">
        <v>18000</v>
      </c>
      <c r="H96" s="21">
        <v>23000</v>
      </c>
      <c r="I96" s="21">
        <v>13000</v>
      </c>
      <c r="J96" s="21">
        <v>9000</v>
      </c>
      <c r="K96" s="21">
        <v>10000</v>
      </c>
      <c r="L96" s="21">
        <v>57000</v>
      </c>
      <c r="M96" s="21">
        <v>165000</v>
      </c>
      <c r="N96" s="21">
        <v>57000</v>
      </c>
      <c r="O96" s="21">
        <v>129000</v>
      </c>
      <c r="P96" s="21">
        <v>100000</v>
      </c>
      <c r="Q96" s="21">
        <v>68000</v>
      </c>
      <c r="R96" s="21">
        <v>58000</v>
      </c>
      <c r="S96" s="21">
        <v>42000</v>
      </c>
      <c r="T96" s="21">
        <v>52000</v>
      </c>
      <c r="U96" s="21">
        <v>39000</v>
      </c>
      <c r="V96" s="21">
        <v>48000</v>
      </c>
      <c r="W96" s="21">
        <v>64000</v>
      </c>
      <c r="X96" s="21">
        <v>55000</v>
      </c>
      <c r="Y96" s="21">
        <v>53000</v>
      </c>
      <c r="Z96" s="21">
        <v>263000</v>
      </c>
      <c r="AA96" s="21">
        <v>282000</v>
      </c>
      <c r="AB96" s="21">
        <v>290000</v>
      </c>
      <c r="AC96" s="21">
        <v>28000</v>
      </c>
      <c r="AD96" s="21">
        <v>29000</v>
      </c>
      <c r="AE96" s="21">
        <v>28000</v>
      </c>
      <c r="AF96" s="21">
        <v>34000</v>
      </c>
      <c r="AG96" s="21">
        <v>44000</v>
      </c>
      <c r="AH96" s="21">
        <v>38000</v>
      </c>
      <c r="AI96" s="21">
        <v>38000</v>
      </c>
      <c r="AJ96" s="21">
        <v>26000</v>
      </c>
    </row>
    <row r="97" spans="1:36" x14ac:dyDescent="0.25">
      <c r="A97" s="5" t="s">
        <v>131</v>
      </c>
      <c r="B97" s="14" t="s">
        <v>237</v>
      </c>
      <c r="C97" s="14" t="s">
        <v>133</v>
      </c>
      <c r="D97" s="14" t="s">
        <v>133</v>
      </c>
      <c r="E97" s="14" t="s">
        <v>135</v>
      </c>
      <c r="F97" s="14" t="s">
        <v>133</v>
      </c>
      <c r="G97" s="14" t="s">
        <v>133</v>
      </c>
      <c r="H97" s="14" t="s">
        <v>133</v>
      </c>
      <c r="I97" s="14" t="s">
        <v>133</v>
      </c>
      <c r="J97" s="14" t="s">
        <v>135</v>
      </c>
      <c r="K97" s="14" t="s">
        <v>134</v>
      </c>
      <c r="L97" s="14" t="s">
        <v>133</v>
      </c>
      <c r="M97" s="14" t="s">
        <v>134</v>
      </c>
      <c r="N97" s="14" t="s">
        <v>133</v>
      </c>
      <c r="O97" s="14" t="s">
        <v>135</v>
      </c>
      <c r="P97" s="14" t="s">
        <v>135</v>
      </c>
      <c r="Q97" s="14" t="s">
        <v>134</v>
      </c>
      <c r="R97" s="14" t="s">
        <v>133</v>
      </c>
      <c r="S97" s="14" t="s">
        <v>133</v>
      </c>
      <c r="T97" s="14" t="s">
        <v>133</v>
      </c>
      <c r="U97" s="14" t="s">
        <v>133</v>
      </c>
      <c r="V97" s="14" t="s">
        <v>133</v>
      </c>
      <c r="W97" s="14" t="s">
        <v>133</v>
      </c>
      <c r="X97" s="14" t="s">
        <v>134</v>
      </c>
      <c r="Y97" s="14" t="s">
        <v>135</v>
      </c>
      <c r="Z97" s="14" t="s">
        <v>135</v>
      </c>
      <c r="AA97" s="14" t="s">
        <v>135</v>
      </c>
      <c r="AB97" s="14" t="s">
        <v>133</v>
      </c>
      <c r="AC97" s="14" t="s">
        <v>134</v>
      </c>
      <c r="AD97" s="14" t="s">
        <v>133</v>
      </c>
      <c r="AE97" s="14" t="s">
        <v>133</v>
      </c>
      <c r="AF97" s="14" t="s">
        <v>133</v>
      </c>
      <c r="AG97" s="14" t="s">
        <v>133</v>
      </c>
      <c r="AH97" s="14" t="s">
        <v>133</v>
      </c>
      <c r="AI97" s="14" t="s">
        <v>133</v>
      </c>
      <c r="AJ97" s="14" t="s">
        <v>132</v>
      </c>
    </row>
    <row r="98" spans="1:36" x14ac:dyDescent="0.25">
      <c r="A98" s="5" t="s">
        <v>136</v>
      </c>
      <c r="B98" s="14" t="s">
        <v>163</v>
      </c>
      <c r="C98" s="14" t="s">
        <v>238</v>
      </c>
      <c r="D98" s="14" t="s">
        <v>238</v>
      </c>
      <c r="E98" s="14" t="s">
        <v>238</v>
      </c>
      <c r="F98" s="14" t="s">
        <v>238</v>
      </c>
      <c r="G98" s="14" t="s">
        <v>238</v>
      </c>
      <c r="H98" s="14" t="s">
        <v>238</v>
      </c>
      <c r="I98" s="14" t="s">
        <v>238</v>
      </c>
      <c r="J98" s="14" t="s">
        <v>238</v>
      </c>
      <c r="K98" s="14" t="s">
        <v>238</v>
      </c>
      <c r="L98" s="14" t="s">
        <v>238</v>
      </c>
      <c r="M98" s="14" t="s">
        <v>238</v>
      </c>
      <c r="N98" s="14" t="s">
        <v>238</v>
      </c>
      <c r="O98" s="14" t="s">
        <v>238</v>
      </c>
      <c r="P98" s="14" t="s">
        <v>238</v>
      </c>
      <c r="Q98" s="14" t="s">
        <v>238</v>
      </c>
      <c r="R98" s="14" t="s">
        <v>238</v>
      </c>
      <c r="S98" s="14" t="s">
        <v>238</v>
      </c>
      <c r="T98" s="14" t="s">
        <v>238</v>
      </c>
      <c r="U98" s="14" t="s">
        <v>238</v>
      </c>
      <c r="V98" s="14" t="s">
        <v>238</v>
      </c>
      <c r="W98" s="14" t="s">
        <v>238</v>
      </c>
      <c r="X98" s="14" t="s">
        <v>238</v>
      </c>
      <c r="Y98" s="14" t="s">
        <v>238</v>
      </c>
      <c r="Z98" s="14" t="s">
        <v>238</v>
      </c>
      <c r="AA98" s="14" t="s">
        <v>238</v>
      </c>
      <c r="AB98" s="14" t="s">
        <v>238</v>
      </c>
      <c r="AC98" s="14" t="s">
        <v>238</v>
      </c>
      <c r="AD98" s="14" t="s">
        <v>238</v>
      </c>
      <c r="AE98" s="14" t="s">
        <v>238</v>
      </c>
      <c r="AF98" s="14" t="s">
        <v>238</v>
      </c>
      <c r="AG98" s="14" t="s">
        <v>238</v>
      </c>
      <c r="AH98" s="14" t="s">
        <v>238</v>
      </c>
      <c r="AI98" s="14" t="s">
        <v>137</v>
      </c>
      <c r="AJ98" s="14" t="s">
        <v>137</v>
      </c>
    </row>
    <row r="99" spans="1:36" x14ac:dyDescent="0.25">
      <c r="A99" s="20" t="s">
        <v>239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spans="1:36" x14ac:dyDescent="0.25">
      <c r="A100" s="5" t="s">
        <v>240</v>
      </c>
      <c r="B100" s="14" t="s">
        <v>163</v>
      </c>
      <c r="C100" s="14" t="s">
        <v>163</v>
      </c>
      <c r="D100" s="14" t="s">
        <v>163</v>
      </c>
      <c r="E100" s="14" t="s">
        <v>163</v>
      </c>
      <c r="F100" s="14" t="s">
        <v>163</v>
      </c>
      <c r="G100" s="14" t="s">
        <v>163</v>
      </c>
      <c r="H100" s="14" t="s">
        <v>163</v>
      </c>
      <c r="I100" s="14" t="s">
        <v>163</v>
      </c>
      <c r="J100" s="14" t="s">
        <v>163</v>
      </c>
      <c r="K100" s="14" t="s">
        <v>163</v>
      </c>
      <c r="L100" s="14" t="s">
        <v>163</v>
      </c>
      <c r="M100" s="14" t="s">
        <v>163</v>
      </c>
      <c r="N100" s="14" t="s">
        <v>163</v>
      </c>
      <c r="O100" s="14" t="s">
        <v>163</v>
      </c>
      <c r="P100" s="14" t="s">
        <v>163</v>
      </c>
      <c r="Q100" s="14" t="s">
        <v>163</v>
      </c>
      <c r="R100" s="14" t="s">
        <v>163</v>
      </c>
      <c r="S100" s="14" t="s">
        <v>163</v>
      </c>
      <c r="T100" s="14" t="s">
        <v>163</v>
      </c>
      <c r="U100" s="14" t="s">
        <v>163</v>
      </c>
      <c r="V100" s="14" t="s">
        <v>163</v>
      </c>
      <c r="W100" s="14" t="s">
        <v>163</v>
      </c>
      <c r="X100" s="21">
        <v>223000</v>
      </c>
      <c r="Y100" s="21">
        <v>177000</v>
      </c>
      <c r="Z100" s="21">
        <v>209000</v>
      </c>
      <c r="AA100" s="21">
        <v>216000</v>
      </c>
      <c r="AB100" s="21">
        <v>209000</v>
      </c>
      <c r="AC100" s="21">
        <v>176000</v>
      </c>
      <c r="AD100" s="21">
        <v>139000</v>
      </c>
      <c r="AE100" s="21">
        <v>122000</v>
      </c>
      <c r="AF100" s="21">
        <v>119000</v>
      </c>
      <c r="AG100" s="21">
        <v>105000</v>
      </c>
      <c r="AH100" s="21">
        <v>10000</v>
      </c>
      <c r="AI100" s="21">
        <v>14000</v>
      </c>
      <c r="AJ100" s="21">
        <v>17000</v>
      </c>
    </row>
    <row r="101" spans="1:36" x14ac:dyDescent="0.25">
      <c r="A101" s="5" t="s">
        <v>241</v>
      </c>
      <c r="B101" s="14" t="s">
        <v>163</v>
      </c>
      <c r="C101" s="14" t="s">
        <v>163</v>
      </c>
      <c r="D101" s="14" t="s">
        <v>163</v>
      </c>
      <c r="E101" s="14" t="s">
        <v>163</v>
      </c>
      <c r="F101" s="14" t="s">
        <v>163</v>
      </c>
      <c r="G101" s="14" t="s">
        <v>163</v>
      </c>
      <c r="H101" s="14" t="s">
        <v>163</v>
      </c>
      <c r="I101" s="14" t="s">
        <v>163</v>
      </c>
      <c r="J101" s="14" t="s">
        <v>163</v>
      </c>
      <c r="K101" s="14" t="s">
        <v>163</v>
      </c>
      <c r="L101" s="14" t="s">
        <v>163</v>
      </c>
      <c r="M101" s="14" t="s">
        <v>163</v>
      </c>
      <c r="N101" s="14" t="s">
        <v>163</v>
      </c>
      <c r="O101" s="14" t="s">
        <v>163</v>
      </c>
      <c r="P101" s="14" t="s">
        <v>163</v>
      </c>
      <c r="Q101" s="14" t="s">
        <v>163</v>
      </c>
      <c r="R101" s="14" t="s">
        <v>163</v>
      </c>
      <c r="S101" s="14" t="s">
        <v>163</v>
      </c>
      <c r="T101" s="14" t="s">
        <v>163</v>
      </c>
      <c r="U101" s="14" t="s">
        <v>163</v>
      </c>
      <c r="V101" s="14" t="s">
        <v>163</v>
      </c>
      <c r="W101" s="14" t="s">
        <v>163</v>
      </c>
      <c r="X101" s="21">
        <v>223000</v>
      </c>
      <c r="Y101" s="21">
        <v>177000</v>
      </c>
      <c r="Z101" s="21">
        <v>209000</v>
      </c>
      <c r="AA101" s="21">
        <v>216000</v>
      </c>
      <c r="AB101" s="21">
        <v>209000</v>
      </c>
      <c r="AC101" s="21">
        <v>176000</v>
      </c>
      <c r="AD101" s="21">
        <v>139000</v>
      </c>
      <c r="AE101" s="21">
        <v>122000</v>
      </c>
      <c r="AF101" s="21">
        <v>119000</v>
      </c>
      <c r="AG101" s="21">
        <v>105000</v>
      </c>
      <c r="AH101" s="21">
        <v>10000</v>
      </c>
      <c r="AI101" s="21">
        <v>14000</v>
      </c>
      <c r="AJ101" s="21">
        <v>17000</v>
      </c>
    </row>
    <row r="102" spans="1:36" x14ac:dyDescent="0.25">
      <c r="A102" s="20" t="s">
        <v>242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spans="1:36" x14ac:dyDescent="0.25">
      <c r="A103" s="5" t="s">
        <v>243</v>
      </c>
      <c r="B103" s="14" t="s">
        <v>163</v>
      </c>
      <c r="C103" s="14" t="s">
        <v>163</v>
      </c>
      <c r="D103" s="14" t="s">
        <v>163</v>
      </c>
      <c r="E103" s="14" t="s">
        <v>163</v>
      </c>
      <c r="F103" s="14" t="s">
        <v>163</v>
      </c>
      <c r="G103" s="14" t="s">
        <v>163</v>
      </c>
      <c r="H103" s="14" t="s">
        <v>163</v>
      </c>
      <c r="I103" s="14" t="s">
        <v>163</v>
      </c>
      <c r="J103" s="14" t="s">
        <v>163</v>
      </c>
      <c r="K103" s="14" t="s">
        <v>163</v>
      </c>
      <c r="L103" s="14" t="s">
        <v>163</v>
      </c>
      <c r="M103" s="14" t="s">
        <v>163</v>
      </c>
      <c r="N103" s="14" t="s">
        <v>163</v>
      </c>
      <c r="O103" s="14" t="s">
        <v>163</v>
      </c>
      <c r="P103" s="14" t="s">
        <v>163</v>
      </c>
      <c r="Q103" s="14" t="s">
        <v>163</v>
      </c>
      <c r="R103" s="14" t="s">
        <v>163</v>
      </c>
      <c r="S103" s="21">
        <v>44000</v>
      </c>
      <c r="T103" s="21">
        <v>68000</v>
      </c>
      <c r="U103" s="21">
        <v>99000</v>
      </c>
      <c r="V103" s="21">
        <v>106000</v>
      </c>
      <c r="W103" s="21">
        <v>115000</v>
      </c>
      <c r="X103" s="21">
        <v>110000</v>
      </c>
      <c r="Y103" s="21">
        <v>85000</v>
      </c>
      <c r="Z103" s="21">
        <v>127000</v>
      </c>
      <c r="AA103" s="21">
        <v>112000</v>
      </c>
      <c r="AB103" s="21">
        <v>74000</v>
      </c>
      <c r="AC103" s="21">
        <v>72000</v>
      </c>
      <c r="AD103" s="21">
        <v>42000</v>
      </c>
      <c r="AE103" s="21">
        <v>35000</v>
      </c>
      <c r="AF103" s="21">
        <v>3000</v>
      </c>
      <c r="AG103" s="21">
        <v>16000</v>
      </c>
      <c r="AH103" s="21">
        <v>3000</v>
      </c>
      <c r="AI103" s="21">
        <v>2000</v>
      </c>
      <c r="AJ103" s="21">
        <v>4000</v>
      </c>
    </row>
    <row r="104" spans="1:36" x14ac:dyDescent="0.25">
      <c r="A104" s="5" t="s">
        <v>244</v>
      </c>
      <c r="B104" s="14" t="s">
        <v>163</v>
      </c>
      <c r="C104" s="14" t="s">
        <v>163</v>
      </c>
      <c r="D104" s="14" t="s">
        <v>163</v>
      </c>
      <c r="E104" s="14" t="s">
        <v>163</v>
      </c>
      <c r="F104" s="14" t="s">
        <v>163</v>
      </c>
      <c r="G104" s="14" t="s">
        <v>163</v>
      </c>
      <c r="H104" s="14" t="s">
        <v>163</v>
      </c>
      <c r="I104" s="14" t="s">
        <v>163</v>
      </c>
      <c r="J104" s="14" t="s">
        <v>163</v>
      </c>
      <c r="K104" s="14" t="s">
        <v>163</v>
      </c>
      <c r="L104" s="14" t="s">
        <v>163</v>
      </c>
      <c r="M104" s="14" t="s">
        <v>163</v>
      </c>
      <c r="N104" s="14" t="s">
        <v>163</v>
      </c>
      <c r="O104" s="14" t="s">
        <v>163</v>
      </c>
      <c r="P104" s="14" t="s">
        <v>163</v>
      </c>
      <c r="Q104" s="14" t="s">
        <v>163</v>
      </c>
      <c r="R104" s="14" t="s">
        <v>163</v>
      </c>
      <c r="S104" s="21">
        <v>15000</v>
      </c>
      <c r="T104" s="21">
        <v>34000</v>
      </c>
      <c r="U104" s="21">
        <v>14000</v>
      </c>
      <c r="V104" s="21">
        <v>10000</v>
      </c>
      <c r="W104" s="21">
        <v>3000</v>
      </c>
      <c r="X104" s="21">
        <v>2000</v>
      </c>
      <c r="Y104" s="21">
        <v>70000</v>
      </c>
      <c r="Z104" s="21">
        <v>1000</v>
      </c>
      <c r="AA104" s="14" t="s">
        <v>163</v>
      </c>
      <c r="AB104" s="21">
        <v>3000</v>
      </c>
      <c r="AC104" s="14" t="s">
        <v>163</v>
      </c>
      <c r="AD104" s="14" t="s">
        <v>163</v>
      </c>
      <c r="AE104" s="14" t="s">
        <v>163</v>
      </c>
      <c r="AF104" s="14" t="s">
        <v>163</v>
      </c>
      <c r="AG104" s="14" t="s">
        <v>163</v>
      </c>
      <c r="AH104" s="14" t="s">
        <v>163</v>
      </c>
      <c r="AI104" s="21">
        <v>2000</v>
      </c>
      <c r="AJ104" s="14" t="s">
        <v>163</v>
      </c>
    </row>
    <row r="105" spans="1:36" x14ac:dyDescent="0.25">
      <c r="A105" s="5" t="s">
        <v>245</v>
      </c>
      <c r="B105" s="14" t="s">
        <v>163</v>
      </c>
      <c r="C105" s="14" t="s">
        <v>163</v>
      </c>
      <c r="D105" s="14" t="s">
        <v>163</v>
      </c>
      <c r="E105" s="14" t="s">
        <v>163</v>
      </c>
      <c r="F105" s="14" t="s">
        <v>163</v>
      </c>
      <c r="G105" s="14" t="s">
        <v>163</v>
      </c>
      <c r="H105" s="14" t="s">
        <v>163</v>
      </c>
      <c r="I105" s="14" t="s">
        <v>163</v>
      </c>
      <c r="J105" s="14" t="s">
        <v>163</v>
      </c>
      <c r="K105" s="14" t="s">
        <v>163</v>
      </c>
      <c r="L105" s="14" t="s">
        <v>163</v>
      </c>
      <c r="M105" s="14" t="s">
        <v>163</v>
      </c>
      <c r="N105" s="14" t="s">
        <v>163</v>
      </c>
      <c r="O105" s="14" t="s">
        <v>163</v>
      </c>
      <c r="P105" s="14" t="s">
        <v>163</v>
      </c>
      <c r="Q105" s="14" t="s">
        <v>163</v>
      </c>
      <c r="R105" s="14" t="s">
        <v>163</v>
      </c>
      <c r="S105" s="21">
        <v>28000</v>
      </c>
      <c r="T105" s="21">
        <v>24000</v>
      </c>
      <c r="U105" s="21">
        <v>24000</v>
      </c>
      <c r="V105" s="21">
        <v>49000</v>
      </c>
      <c r="W105" s="21">
        <v>1000</v>
      </c>
      <c r="X105" s="21">
        <v>3000</v>
      </c>
      <c r="Y105" s="21">
        <v>1000</v>
      </c>
      <c r="Z105" s="14" t="s">
        <v>163</v>
      </c>
      <c r="AA105" s="14" t="s">
        <v>163</v>
      </c>
      <c r="AB105" s="14" t="s">
        <v>163</v>
      </c>
      <c r="AC105" s="21">
        <v>1000</v>
      </c>
      <c r="AD105" s="14" t="s">
        <v>163</v>
      </c>
      <c r="AE105" s="14" t="s">
        <v>163</v>
      </c>
      <c r="AF105" s="21">
        <v>13000</v>
      </c>
      <c r="AG105" s="14" t="s">
        <v>163</v>
      </c>
      <c r="AH105" s="14" t="s">
        <v>163</v>
      </c>
      <c r="AI105" s="14" t="s">
        <v>163</v>
      </c>
      <c r="AJ105" s="21">
        <v>16000</v>
      </c>
    </row>
    <row r="106" spans="1:36" x14ac:dyDescent="0.25">
      <c r="A106" s="5" t="s">
        <v>246</v>
      </c>
      <c r="B106" s="14" t="s">
        <v>163</v>
      </c>
      <c r="C106" s="14" t="s">
        <v>163</v>
      </c>
      <c r="D106" s="14" t="s">
        <v>163</v>
      </c>
      <c r="E106" s="14" t="s">
        <v>163</v>
      </c>
      <c r="F106" s="14" t="s">
        <v>163</v>
      </c>
      <c r="G106" s="14" t="s">
        <v>163</v>
      </c>
      <c r="H106" s="14" t="s">
        <v>163</v>
      </c>
      <c r="I106" s="14" t="s">
        <v>163</v>
      </c>
      <c r="J106" s="14" t="s">
        <v>163</v>
      </c>
      <c r="K106" s="14" t="s">
        <v>163</v>
      </c>
      <c r="L106" s="14" t="s">
        <v>163</v>
      </c>
      <c r="M106" s="14" t="s">
        <v>163</v>
      </c>
      <c r="N106" s="14" t="s">
        <v>163</v>
      </c>
      <c r="O106" s="14" t="s">
        <v>163</v>
      </c>
      <c r="P106" s="14" t="s">
        <v>163</v>
      </c>
      <c r="Q106" s="14" t="s">
        <v>163</v>
      </c>
      <c r="R106" s="14" t="s">
        <v>163</v>
      </c>
      <c r="S106" s="21">
        <v>-19000</v>
      </c>
      <c r="T106" s="21">
        <v>-17000</v>
      </c>
      <c r="U106" s="21">
        <v>-27000</v>
      </c>
      <c r="V106" s="21">
        <v>-25000</v>
      </c>
      <c r="W106" s="21">
        <v>-4000</v>
      </c>
      <c r="X106" s="21">
        <v>-25000</v>
      </c>
      <c r="Y106" s="21">
        <v>-6000</v>
      </c>
      <c r="Z106" s="21">
        <v>-7000</v>
      </c>
      <c r="AA106" s="21">
        <v>-5000</v>
      </c>
      <c r="AB106" s="21">
        <v>-4000</v>
      </c>
      <c r="AC106" s="21">
        <v>-26000</v>
      </c>
      <c r="AD106" s="21">
        <v>-2000</v>
      </c>
      <c r="AE106" s="14" t="s">
        <v>163</v>
      </c>
      <c r="AF106" s="14" t="s">
        <v>163</v>
      </c>
      <c r="AG106" s="21">
        <v>-13000</v>
      </c>
      <c r="AH106" s="14" t="s">
        <v>163</v>
      </c>
      <c r="AI106" s="14" t="s">
        <v>163</v>
      </c>
      <c r="AJ106" s="14" t="s">
        <v>163</v>
      </c>
    </row>
    <row r="107" spans="1:36" x14ac:dyDescent="0.25">
      <c r="A107" s="5" t="s">
        <v>247</v>
      </c>
      <c r="B107" s="14" t="s">
        <v>163</v>
      </c>
      <c r="C107" s="14" t="s">
        <v>163</v>
      </c>
      <c r="D107" s="14" t="s">
        <v>163</v>
      </c>
      <c r="E107" s="14" t="s">
        <v>163</v>
      </c>
      <c r="F107" s="14" t="s">
        <v>163</v>
      </c>
      <c r="G107" s="14" t="s">
        <v>163</v>
      </c>
      <c r="H107" s="14" t="s">
        <v>163</v>
      </c>
      <c r="I107" s="14" t="s">
        <v>163</v>
      </c>
      <c r="J107" s="14" t="s">
        <v>163</v>
      </c>
      <c r="K107" s="14" t="s">
        <v>163</v>
      </c>
      <c r="L107" s="14" t="s">
        <v>163</v>
      </c>
      <c r="M107" s="14" t="s">
        <v>163</v>
      </c>
      <c r="N107" s="14" t="s">
        <v>163</v>
      </c>
      <c r="O107" s="14" t="s">
        <v>163</v>
      </c>
      <c r="P107" s="14" t="s">
        <v>163</v>
      </c>
      <c r="Q107" s="14" t="s">
        <v>163</v>
      </c>
      <c r="R107" s="14" t="s">
        <v>163</v>
      </c>
      <c r="S107" s="14" t="s">
        <v>163</v>
      </c>
      <c r="T107" s="21">
        <v>-10000</v>
      </c>
      <c r="U107" s="14" t="s">
        <v>163</v>
      </c>
      <c r="V107" s="21">
        <v>-18000</v>
      </c>
      <c r="W107" s="14" t="s">
        <v>163</v>
      </c>
      <c r="X107" s="21">
        <v>-5000</v>
      </c>
      <c r="Y107" s="14" t="s">
        <v>163</v>
      </c>
      <c r="Z107" s="14" t="s">
        <v>163</v>
      </c>
      <c r="AA107" s="21">
        <v>-26000</v>
      </c>
      <c r="AB107" s="14" t="s">
        <v>163</v>
      </c>
      <c r="AC107" s="21">
        <v>-4000</v>
      </c>
      <c r="AD107" s="14" t="s">
        <v>163</v>
      </c>
      <c r="AE107" s="21">
        <v>-32000</v>
      </c>
      <c r="AF107" s="14" t="s">
        <v>163</v>
      </c>
      <c r="AG107" s="14" t="s">
        <v>163</v>
      </c>
      <c r="AH107" s="14" t="s">
        <v>163</v>
      </c>
      <c r="AI107" s="14" t="s">
        <v>163</v>
      </c>
      <c r="AJ107" s="14" t="s">
        <v>163</v>
      </c>
    </row>
    <row r="108" spans="1:36" x14ac:dyDescent="0.25">
      <c r="A108" s="5" t="s">
        <v>248</v>
      </c>
      <c r="B108" s="14" t="s">
        <v>163</v>
      </c>
      <c r="C108" s="14" t="s">
        <v>163</v>
      </c>
      <c r="D108" s="14" t="s">
        <v>163</v>
      </c>
      <c r="E108" s="14" t="s">
        <v>163</v>
      </c>
      <c r="F108" s="14" t="s">
        <v>163</v>
      </c>
      <c r="G108" s="14" t="s">
        <v>163</v>
      </c>
      <c r="H108" s="14" t="s">
        <v>163</v>
      </c>
      <c r="I108" s="14" t="s">
        <v>163</v>
      </c>
      <c r="J108" s="14" t="s">
        <v>163</v>
      </c>
      <c r="K108" s="14" t="s">
        <v>163</v>
      </c>
      <c r="L108" s="14" t="s">
        <v>163</v>
      </c>
      <c r="M108" s="14" t="s">
        <v>163</v>
      </c>
      <c r="N108" s="14" t="s">
        <v>163</v>
      </c>
      <c r="O108" s="14" t="s">
        <v>163</v>
      </c>
      <c r="P108" s="14" t="s">
        <v>163</v>
      </c>
      <c r="Q108" s="14" t="s">
        <v>163</v>
      </c>
      <c r="R108" s="14" t="s">
        <v>163</v>
      </c>
      <c r="S108" s="14" t="s">
        <v>163</v>
      </c>
      <c r="T108" s="14" t="s">
        <v>163</v>
      </c>
      <c r="U108" s="21">
        <v>-4000</v>
      </c>
      <c r="V108" s="21">
        <v>-7000</v>
      </c>
      <c r="W108" s="21">
        <v>-5000</v>
      </c>
      <c r="X108" s="14" t="s">
        <v>163</v>
      </c>
      <c r="Y108" s="21">
        <v>-23000</v>
      </c>
      <c r="Z108" s="21">
        <v>-9000</v>
      </c>
      <c r="AA108" s="21">
        <v>-7000</v>
      </c>
      <c r="AB108" s="21">
        <v>-1000</v>
      </c>
      <c r="AC108" s="21">
        <v>-1000</v>
      </c>
      <c r="AD108" s="21">
        <v>-5000</v>
      </c>
      <c r="AE108" s="14" t="s">
        <v>163</v>
      </c>
      <c r="AF108" s="14" t="s">
        <v>163</v>
      </c>
      <c r="AG108" s="14" t="s">
        <v>163</v>
      </c>
      <c r="AH108" s="21">
        <v>-1000</v>
      </c>
      <c r="AI108" s="14" t="s">
        <v>163</v>
      </c>
      <c r="AJ108" s="21">
        <v>-2000</v>
      </c>
    </row>
    <row r="109" spans="1:36" x14ac:dyDescent="0.25">
      <c r="A109" s="5" t="s">
        <v>249</v>
      </c>
      <c r="B109" s="14" t="s">
        <v>163</v>
      </c>
      <c r="C109" s="14" t="s">
        <v>163</v>
      </c>
      <c r="D109" s="14" t="s">
        <v>163</v>
      </c>
      <c r="E109" s="14" t="s">
        <v>163</v>
      </c>
      <c r="F109" s="14" t="s">
        <v>163</v>
      </c>
      <c r="G109" s="14" t="s">
        <v>163</v>
      </c>
      <c r="H109" s="14" t="s">
        <v>163</v>
      </c>
      <c r="I109" s="14" t="s">
        <v>163</v>
      </c>
      <c r="J109" s="14" t="s">
        <v>163</v>
      </c>
      <c r="K109" s="14" t="s">
        <v>163</v>
      </c>
      <c r="L109" s="14" t="s">
        <v>163</v>
      </c>
      <c r="M109" s="14" t="s">
        <v>163</v>
      </c>
      <c r="N109" s="14" t="s">
        <v>163</v>
      </c>
      <c r="O109" s="14" t="s">
        <v>163</v>
      </c>
      <c r="P109" s="14" t="s">
        <v>163</v>
      </c>
      <c r="Q109" s="14" t="s">
        <v>163</v>
      </c>
      <c r="R109" s="14" t="s">
        <v>163</v>
      </c>
      <c r="S109" s="21">
        <v>68000</v>
      </c>
      <c r="T109" s="21">
        <v>99000</v>
      </c>
      <c r="U109" s="21">
        <v>106000</v>
      </c>
      <c r="V109" s="21">
        <v>115000</v>
      </c>
      <c r="W109" s="21">
        <v>110000</v>
      </c>
      <c r="X109" s="21">
        <v>85000</v>
      </c>
      <c r="Y109" s="21">
        <v>127000</v>
      </c>
      <c r="Z109" s="21">
        <v>112000</v>
      </c>
      <c r="AA109" s="21">
        <v>74000</v>
      </c>
      <c r="AB109" s="21">
        <v>72000</v>
      </c>
      <c r="AC109" s="21">
        <v>42000</v>
      </c>
      <c r="AD109" s="21">
        <v>35000</v>
      </c>
      <c r="AE109" s="21">
        <v>3000</v>
      </c>
      <c r="AF109" s="21">
        <v>16000</v>
      </c>
      <c r="AG109" s="21">
        <v>3000</v>
      </c>
      <c r="AH109" s="21">
        <v>2000</v>
      </c>
      <c r="AI109" s="21">
        <v>4000</v>
      </c>
      <c r="AJ109" s="21">
        <v>18000</v>
      </c>
    </row>
    <row r="110" spans="1:36" x14ac:dyDescent="0.25">
      <c r="A110" s="5" t="s">
        <v>250</v>
      </c>
      <c r="B110" s="14" t="s">
        <v>163</v>
      </c>
      <c r="C110" s="14" t="s">
        <v>163</v>
      </c>
      <c r="D110" s="14" t="s">
        <v>163</v>
      </c>
      <c r="E110" s="14" t="s">
        <v>163</v>
      </c>
      <c r="F110" s="14" t="s">
        <v>163</v>
      </c>
      <c r="G110" s="14" t="s">
        <v>163</v>
      </c>
      <c r="H110" s="14" t="s">
        <v>163</v>
      </c>
      <c r="I110" s="14" t="s">
        <v>163</v>
      </c>
      <c r="J110" s="14" t="s">
        <v>163</v>
      </c>
      <c r="K110" s="14" t="s">
        <v>163</v>
      </c>
      <c r="L110" s="14" t="s">
        <v>163</v>
      </c>
      <c r="M110" s="14" t="s">
        <v>163</v>
      </c>
      <c r="N110" s="14" t="s">
        <v>163</v>
      </c>
      <c r="O110" s="14" t="s">
        <v>163</v>
      </c>
      <c r="P110" s="14" t="s">
        <v>163</v>
      </c>
      <c r="Q110" s="14" t="s">
        <v>163</v>
      </c>
      <c r="R110" s="14" t="s">
        <v>163</v>
      </c>
      <c r="S110" s="21">
        <v>6000</v>
      </c>
      <c r="T110" s="21">
        <v>4000</v>
      </c>
      <c r="U110" s="21">
        <v>4000</v>
      </c>
      <c r="V110" s="21">
        <v>4000</v>
      </c>
      <c r="W110" s="21">
        <v>6000</v>
      </c>
      <c r="X110" s="21">
        <v>7000</v>
      </c>
      <c r="Y110" s="21">
        <v>7000</v>
      </c>
      <c r="Z110" s="14" t="s">
        <v>163</v>
      </c>
      <c r="AA110" s="14" t="s">
        <v>163</v>
      </c>
      <c r="AB110" s="14" t="s">
        <v>163</v>
      </c>
      <c r="AC110" s="14" t="s">
        <v>163</v>
      </c>
      <c r="AD110" s="14" t="s">
        <v>163</v>
      </c>
      <c r="AE110" s="14" t="s">
        <v>163</v>
      </c>
      <c r="AF110" s="14" t="s">
        <v>163</v>
      </c>
      <c r="AG110" s="14" t="s">
        <v>163</v>
      </c>
      <c r="AH110" s="14" t="s">
        <v>163</v>
      </c>
      <c r="AI110" s="21">
        <v>2000</v>
      </c>
      <c r="AJ110" s="21">
        <v>1000</v>
      </c>
    </row>
    <row r="111" spans="1:36" x14ac:dyDescent="0.25">
      <c r="A111" s="5" t="s">
        <v>251</v>
      </c>
      <c r="B111" s="14" t="s">
        <v>163</v>
      </c>
      <c r="C111" s="14" t="s">
        <v>163</v>
      </c>
      <c r="D111" s="14" t="s">
        <v>163</v>
      </c>
      <c r="E111" s="14" t="s">
        <v>163</v>
      </c>
      <c r="F111" s="14" t="s">
        <v>163</v>
      </c>
      <c r="G111" s="14" t="s">
        <v>163</v>
      </c>
      <c r="H111" s="14" t="s">
        <v>163</v>
      </c>
      <c r="I111" s="14" t="s">
        <v>163</v>
      </c>
      <c r="J111" s="14" t="s">
        <v>163</v>
      </c>
      <c r="K111" s="14" t="s">
        <v>163</v>
      </c>
      <c r="L111" s="14" t="s">
        <v>163</v>
      </c>
      <c r="M111" s="14" t="s">
        <v>163</v>
      </c>
      <c r="N111" s="14" t="s">
        <v>163</v>
      </c>
      <c r="O111" s="14" t="s">
        <v>163</v>
      </c>
      <c r="P111" s="14" t="s">
        <v>163</v>
      </c>
      <c r="Q111" s="14" t="s">
        <v>163</v>
      </c>
      <c r="R111" s="14" t="s">
        <v>163</v>
      </c>
      <c r="S111" s="14" t="s">
        <v>163</v>
      </c>
      <c r="T111" s="14" t="s">
        <v>163</v>
      </c>
      <c r="U111" s="14" t="s">
        <v>163</v>
      </c>
      <c r="V111" s="14" t="s">
        <v>163</v>
      </c>
      <c r="W111" s="14" t="s">
        <v>163</v>
      </c>
      <c r="X111" s="14" t="s">
        <v>163</v>
      </c>
      <c r="Y111" s="14" t="s">
        <v>163</v>
      </c>
      <c r="Z111" s="14" t="s">
        <v>163</v>
      </c>
      <c r="AA111" s="14" t="s">
        <v>163</v>
      </c>
      <c r="AB111" s="14" t="s">
        <v>163</v>
      </c>
      <c r="AC111" s="14" t="s">
        <v>163</v>
      </c>
      <c r="AD111" s="14" t="s">
        <v>163</v>
      </c>
      <c r="AE111" s="14" t="s">
        <v>163</v>
      </c>
      <c r="AF111" s="14" t="s">
        <v>163</v>
      </c>
      <c r="AG111" s="14" t="s">
        <v>163</v>
      </c>
      <c r="AH111" s="14" t="s">
        <v>163</v>
      </c>
      <c r="AI111" s="21">
        <v>4000</v>
      </c>
      <c r="AJ111" s="21">
        <v>18000</v>
      </c>
    </row>
    <row r="112" spans="1:36" x14ac:dyDescent="0.25">
      <c r="A112" s="20" t="s">
        <v>252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spans="1:36" x14ac:dyDescent="0.25">
      <c r="A113" s="5" t="s">
        <v>253</v>
      </c>
      <c r="B113" s="14" t="s">
        <v>163</v>
      </c>
      <c r="C113" s="14" t="s">
        <v>163</v>
      </c>
      <c r="D113" s="14" t="s">
        <v>163</v>
      </c>
      <c r="E113" s="14" t="s">
        <v>163</v>
      </c>
      <c r="F113" s="14" t="s">
        <v>163</v>
      </c>
      <c r="G113" s="14" t="s">
        <v>163</v>
      </c>
      <c r="H113" s="14" t="s">
        <v>163</v>
      </c>
      <c r="I113" s="14" t="s">
        <v>163</v>
      </c>
      <c r="J113" s="14" t="s">
        <v>163</v>
      </c>
      <c r="K113" s="14" t="s">
        <v>163</v>
      </c>
      <c r="L113" s="14" t="s">
        <v>163</v>
      </c>
      <c r="M113" s="14" t="s">
        <v>163</v>
      </c>
      <c r="N113" s="14" t="s">
        <v>163</v>
      </c>
      <c r="O113" s="14" t="s">
        <v>163</v>
      </c>
      <c r="P113" s="14" t="s">
        <v>163</v>
      </c>
      <c r="Q113" s="14" t="s">
        <v>163</v>
      </c>
      <c r="R113" s="14" t="s">
        <v>163</v>
      </c>
      <c r="S113" s="14" t="s">
        <v>163</v>
      </c>
      <c r="T113" s="14" t="s">
        <v>163</v>
      </c>
      <c r="U113" s="14" t="s">
        <v>163</v>
      </c>
      <c r="V113" s="14" t="s">
        <v>163</v>
      </c>
      <c r="W113" s="14" t="s">
        <v>163</v>
      </c>
      <c r="X113" s="14" t="s">
        <v>163</v>
      </c>
      <c r="Y113" s="14" t="s">
        <v>163</v>
      </c>
      <c r="Z113" s="14" t="s">
        <v>163</v>
      </c>
      <c r="AA113" s="14" t="s">
        <v>163</v>
      </c>
      <c r="AB113" s="14" t="s">
        <v>163</v>
      </c>
      <c r="AC113" s="14" t="s">
        <v>163</v>
      </c>
      <c r="AD113" s="14" t="s">
        <v>163</v>
      </c>
      <c r="AE113" s="14" t="s">
        <v>163</v>
      </c>
      <c r="AF113" s="14" t="s">
        <v>163</v>
      </c>
      <c r="AG113" s="14" t="s">
        <v>163</v>
      </c>
      <c r="AH113" s="14" t="s">
        <v>163</v>
      </c>
      <c r="AI113" s="21">
        <v>25000</v>
      </c>
      <c r="AJ113" s="21">
        <v>63000</v>
      </c>
    </row>
    <row r="114" spans="1:36" x14ac:dyDescent="0.25">
      <c r="A114" s="5" t="s">
        <v>254</v>
      </c>
      <c r="B114" s="14" t="s">
        <v>163</v>
      </c>
      <c r="C114" s="14" t="s">
        <v>163</v>
      </c>
      <c r="D114" s="14" t="s">
        <v>163</v>
      </c>
      <c r="E114" s="14" t="s">
        <v>163</v>
      </c>
      <c r="F114" s="14" t="s">
        <v>163</v>
      </c>
      <c r="G114" s="14" t="s">
        <v>163</v>
      </c>
      <c r="H114" s="14" t="s">
        <v>163</v>
      </c>
      <c r="I114" s="14" t="s">
        <v>163</v>
      </c>
      <c r="J114" s="14" t="s">
        <v>163</v>
      </c>
      <c r="K114" s="14" t="s">
        <v>163</v>
      </c>
      <c r="L114" s="14" t="s">
        <v>163</v>
      </c>
      <c r="M114" s="14" t="s">
        <v>163</v>
      </c>
      <c r="N114" s="14" t="s">
        <v>163</v>
      </c>
      <c r="O114" s="14" t="s">
        <v>163</v>
      </c>
      <c r="P114" s="14" t="s">
        <v>163</v>
      </c>
      <c r="Q114" s="14" t="s">
        <v>163</v>
      </c>
      <c r="R114" s="14" t="s">
        <v>163</v>
      </c>
      <c r="S114" s="14" t="s">
        <v>163</v>
      </c>
      <c r="T114" s="21">
        <v>14000</v>
      </c>
      <c r="U114" s="14" t="s">
        <v>163</v>
      </c>
      <c r="V114" s="14" t="s">
        <v>163</v>
      </c>
      <c r="W114" s="14" t="s">
        <v>163</v>
      </c>
      <c r="X114" s="14" t="s">
        <v>163</v>
      </c>
      <c r="Y114" s="21">
        <v>63000</v>
      </c>
      <c r="Z114" s="21">
        <v>31000</v>
      </c>
      <c r="AA114" s="21">
        <v>4000</v>
      </c>
      <c r="AB114" s="21">
        <v>9000</v>
      </c>
      <c r="AC114" s="21">
        <v>16000</v>
      </c>
      <c r="AD114" s="21">
        <v>14000</v>
      </c>
      <c r="AE114" s="21">
        <v>6000</v>
      </c>
      <c r="AF114" s="21">
        <v>6000</v>
      </c>
      <c r="AG114" s="21">
        <v>54000</v>
      </c>
      <c r="AH114" s="21">
        <v>34000</v>
      </c>
      <c r="AI114" s="21">
        <v>349000</v>
      </c>
      <c r="AJ114" s="21">
        <v>274000</v>
      </c>
    </row>
    <row r="115" spans="1:36" x14ac:dyDescent="0.25">
      <c r="A115" s="5" t="s">
        <v>255</v>
      </c>
      <c r="B115" s="14" t="s">
        <v>163</v>
      </c>
      <c r="C115" s="14" t="s">
        <v>163</v>
      </c>
      <c r="D115" s="14" t="s">
        <v>163</v>
      </c>
      <c r="E115" s="14" t="s">
        <v>163</v>
      </c>
      <c r="F115" s="14" t="s">
        <v>163</v>
      </c>
      <c r="G115" s="14" t="s">
        <v>163</v>
      </c>
      <c r="H115" s="14" t="s">
        <v>163</v>
      </c>
      <c r="I115" s="14" t="s">
        <v>163</v>
      </c>
      <c r="J115" s="14" t="s">
        <v>163</v>
      </c>
      <c r="K115" s="14" t="s">
        <v>163</v>
      </c>
      <c r="L115" s="14" t="s">
        <v>163</v>
      </c>
      <c r="M115" s="14" t="s">
        <v>163</v>
      </c>
      <c r="N115" s="14" t="s">
        <v>163</v>
      </c>
      <c r="O115" s="14" t="s">
        <v>163</v>
      </c>
      <c r="P115" s="14" t="s">
        <v>163</v>
      </c>
      <c r="Q115" s="14" t="s">
        <v>163</v>
      </c>
      <c r="R115" s="14" t="s">
        <v>163</v>
      </c>
      <c r="S115" s="14" t="s">
        <v>163</v>
      </c>
      <c r="T115" s="14" t="s">
        <v>163</v>
      </c>
      <c r="U115" s="14" t="s">
        <v>163</v>
      </c>
      <c r="V115" s="14" t="s">
        <v>163</v>
      </c>
      <c r="W115" s="14" t="s">
        <v>163</v>
      </c>
      <c r="X115" s="14" t="s">
        <v>163</v>
      </c>
      <c r="Y115" s="14" t="s">
        <v>163</v>
      </c>
      <c r="Z115" s="14" t="s">
        <v>163</v>
      </c>
      <c r="AA115" s="14" t="s">
        <v>163</v>
      </c>
      <c r="AB115" s="14" t="s">
        <v>163</v>
      </c>
      <c r="AC115" s="14" t="s">
        <v>163</v>
      </c>
      <c r="AD115" s="14" t="s">
        <v>163</v>
      </c>
      <c r="AE115" s="21">
        <v>166000</v>
      </c>
      <c r="AF115" s="14" t="s">
        <v>163</v>
      </c>
      <c r="AG115" s="14" t="s">
        <v>163</v>
      </c>
      <c r="AH115" s="14" t="s">
        <v>163</v>
      </c>
      <c r="AI115" s="21">
        <v>57000</v>
      </c>
      <c r="AJ115" s="21">
        <v>29000</v>
      </c>
    </row>
    <row r="116" spans="1:36" x14ac:dyDescent="0.25">
      <c r="A116" s="5" t="s">
        <v>256</v>
      </c>
      <c r="B116" s="14" t="s">
        <v>163</v>
      </c>
      <c r="C116" s="14" t="s">
        <v>163</v>
      </c>
      <c r="D116" s="14" t="s">
        <v>163</v>
      </c>
      <c r="E116" s="14" t="s">
        <v>163</v>
      </c>
      <c r="F116" s="14" t="s">
        <v>163</v>
      </c>
      <c r="G116" s="14" t="s">
        <v>163</v>
      </c>
      <c r="H116" s="14" t="s">
        <v>163</v>
      </c>
      <c r="I116" s="14" t="s">
        <v>163</v>
      </c>
      <c r="J116" s="14" t="s">
        <v>163</v>
      </c>
      <c r="K116" s="14" t="s">
        <v>163</v>
      </c>
      <c r="L116" s="14" t="s">
        <v>163</v>
      </c>
      <c r="M116" s="14" t="s">
        <v>163</v>
      </c>
      <c r="N116" s="14" t="s">
        <v>163</v>
      </c>
      <c r="O116" s="14" t="s">
        <v>163</v>
      </c>
      <c r="P116" s="14" t="s">
        <v>163</v>
      </c>
      <c r="Q116" s="14" t="s">
        <v>163</v>
      </c>
      <c r="R116" s="14" t="s">
        <v>163</v>
      </c>
      <c r="S116" s="14" t="s">
        <v>163</v>
      </c>
      <c r="T116" s="21">
        <v>14000</v>
      </c>
      <c r="U116" s="14" t="s">
        <v>163</v>
      </c>
      <c r="V116" s="14" t="s">
        <v>163</v>
      </c>
      <c r="W116" s="14" t="s">
        <v>163</v>
      </c>
      <c r="X116" s="14" t="s">
        <v>163</v>
      </c>
      <c r="Y116" s="21">
        <v>63000</v>
      </c>
      <c r="Z116" s="21">
        <v>31000</v>
      </c>
      <c r="AA116" s="21">
        <v>4000</v>
      </c>
      <c r="AB116" s="21">
        <v>9000</v>
      </c>
      <c r="AC116" s="21">
        <v>16000</v>
      </c>
      <c r="AD116" s="21">
        <v>14000</v>
      </c>
      <c r="AE116" s="21">
        <v>172000</v>
      </c>
      <c r="AF116" s="21">
        <v>6000</v>
      </c>
      <c r="AG116" s="21">
        <v>54000</v>
      </c>
      <c r="AH116" s="21">
        <v>34000</v>
      </c>
      <c r="AI116" s="21">
        <v>431000</v>
      </c>
      <c r="AJ116" s="21">
        <v>366000</v>
      </c>
    </row>
    <row r="117" spans="1:36" x14ac:dyDescent="0.25">
      <c r="A117" s="5" t="s">
        <v>257</v>
      </c>
      <c r="B117" s="14" t="s">
        <v>163</v>
      </c>
      <c r="C117" s="14" t="s">
        <v>163</v>
      </c>
      <c r="D117" s="14" t="s">
        <v>163</v>
      </c>
      <c r="E117" s="14" t="s">
        <v>163</v>
      </c>
      <c r="F117" s="14" t="s">
        <v>163</v>
      </c>
      <c r="G117" s="14" t="s">
        <v>163</v>
      </c>
      <c r="H117" s="14" t="s">
        <v>163</v>
      </c>
      <c r="I117" s="14" t="s">
        <v>163</v>
      </c>
      <c r="J117" s="14" t="s">
        <v>163</v>
      </c>
      <c r="K117" s="14" t="s">
        <v>163</v>
      </c>
      <c r="L117" s="14" t="s">
        <v>163</v>
      </c>
      <c r="M117" s="14" t="s">
        <v>163</v>
      </c>
      <c r="N117" s="14" t="s">
        <v>163</v>
      </c>
      <c r="O117" s="14" t="s">
        <v>163</v>
      </c>
      <c r="P117" s="14" t="s">
        <v>163</v>
      </c>
      <c r="Q117" s="14" t="s">
        <v>163</v>
      </c>
      <c r="R117" s="14" t="s">
        <v>163</v>
      </c>
      <c r="S117" s="14" t="s">
        <v>163</v>
      </c>
      <c r="T117" s="21">
        <v>18000</v>
      </c>
      <c r="U117" s="21">
        <v>4006000</v>
      </c>
      <c r="V117" s="14" t="s">
        <v>163</v>
      </c>
      <c r="W117" s="14" t="s">
        <v>163</v>
      </c>
      <c r="X117" s="14" t="s">
        <v>163</v>
      </c>
      <c r="Y117" s="21">
        <v>4209000</v>
      </c>
      <c r="Z117" s="21">
        <v>3740000</v>
      </c>
      <c r="AA117" s="21">
        <v>1897000</v>
      </c>
      <c r="AB117" s="21">
        <v>3139000</v>
      </c>
      <c r="AC117" s="21">
        <v>2857000</v>
      </c>
      <c r="AD117" s="21">
        <v>2203000</v>
      </c>
      <c r="AE117" s="21">
        <v>3601000</v>
      </c>
      <c r="AF117" s="21">
        <v>5377000</v>
      </c>
      <c r="AG117" s="21">
        <v>4442000</v>
      </c>
      <c r="AH117" s="21">
        <v>3898000</v>
      </c>
      <c r="AI117" s="21">
        <v>4880000</v>
      </c>
      <c r="AJ117" s="21">
        <v>4252000</v>
      </c>
    </row>
    <row r="118" spans="1:36" x14ac:dyDescent="0.25">
      <c r="A118" s="5" t="s">
        <v>258</v>
      </c>
      <c r="B118" s="14" t="s">
        <v>163</v>
      </c>
      <c r="C118" s="14" t="s">
        <v>163</v>
      </c>
      <c r="D118" s="14" t="s">
        <v>163</v>
      </c>
      <c r="E118" s="14" t="s">
        <v>163</v>
      </c>
      <c r="F118" s="14" t="s">
        <v>163</v>
      </c>
      <c r="G118" s="14" t="s">
        <v>163</v>
      </c>
      <c r="H118" s="14" t="s">
        <v>163</v>
      </c>
      <c r="I118" s="14" t="s">
        <v>163</v>
      </c>
      <c r="J118" s="14" t="s">
        <v>163</v>
      </c>
      <c r="K118" s="14" t="s">
        <v>163</v>
      </c>
      <c r="L118" s="14" t="s">
        <v>163</v>
      </c>
      <c r="M118" s="14" t="s">
        <v>163</v>
      </c>
      <c r="N118" s="14" t="s">
        <v>163</v>
      </c>
      <c r="O118" s="14" t="s">
        <v>163</v>
      </c>
      <c r="P118" s="14" t="s">
        <v>163</v>
      </c>
      <c r="Q118" s="14" t="s">
        <v>163</v>
      </c>
      <c r="R118" s="14" t="s">
        <v>163</v>
      </c>
      <c r="S118" s="14" t="s">
        <v>163</v>
      </c>
      <c r="T118" s="14" t="s">
        <v>163</v>
      </c>
      <c r="U118" s="14" t="s">
        <v>163</v>
      </c>
      <c r="V118" s="14" t="s">
        <v>163</v>
      </c>
      <c r="W118" s="14" t="s">
        <v>163</v>
      </c>
      <c r="X118" s="14" t="s">
        <v>163</v>
      </c>
      <c r="Y118" s="14" t="s">
        <v>163</v>
      </c>
      <c r="Z118" s="14" t="s">
        <v>163</v>
      </c>
      <c r="AA118" s="14" t="s">
        <v>163</v>
      </c>
      <c r="AB118" s="14" t="s">
        <v>163</v>
      </c>
      <c r="AC118" s="14" t="s">
        <v>163</v>
      </c>
      <c r="AD118" s="14" t="s">
        <v>163</v>
      </c>
      <c r="AE118" s="21">
        <v>194000</v>
      </c>
      <c r="AF118" s="14" t="s">
        <v>163</v>
      </c>
      <c r="AG118" s="14" t="s">
        <v>163</v>
      </c>
      <c r="AH118" s="14" t="s">
        <v>163</v>
      </c>
      <c r="AI118" s="14" t="s">
        <v>163</v>
      </c>
      <c r="AJ118" s="14" t="s">
        <v>163</v>
      </c>
    </row>
    <row r="119" spans="1:36" x14ac:dyDescent="0.25">
      <c r="A119" s="5" t="s">
        <v>259</v>
      </c>
      <c r="B119" s="14" t="s">
        <v>163</v>
      </c>
      <c r="C119" s="14" t="s">
        <v>163</v>
      </c>
      <c r="D119" s="14" t="s">
        <v>163</v>
      </c>
      <c r="E119" s="14" t="s">
        <v>163</v>
      </c>
      <c r="F119" s="14" t="s">
        <v>163</v>
      </c>
      <c r="G119" s="14" t="s">
        <v>163</v>
      </c>
      <c r="H119" s="14" t="s">
        <v>163</v>
      </c>
      <c r="I119" s="14" t="s">
        <v>163</v>
      </c>
      <c r="J119" s="14" t="s">
        <v>163</v>
      </c>
      <c r="K119" s="14" t="s">
        <v>163</v>
      </c>
      <c r="L119" s="14" t="s">
        <v>163</v>
      </c>
      <c r="M119" s="14" t="s">
        <v>163</v>
      </c>
      <c r="N119" s="14" t="s">
        <v>163</v>
      </c>
      <c r="O119" s="14" t="s">
        <v>163</v>
      </c>
      <c r="P119" s="14" t="s">
        <v>163</v>
      </c>
      <c r="Q119" s="14" t="s">
        <v>163</v>
      </c>
      <c r="R119" s="14" t="s">
        <v>163</v>
      </c>
      <c r="S119" s="14" t="s">
        <v>163</v>
      </c>
      <c r="T119" s="21">
        <v>18000</v>
      </c>
      <c r="U119" s="21">
        <v>4006000</v>
      </c>
      <c r="V119" s="14" t="s">
        <v>163</v>
      </c>
      <c r="W119" s="14" t="s">
        <v>163</v>
      </c>
      <c r="X119" s="14" t="s">
        <v>163</v>
      </c>
      <c r="Y119" s="21">
        <v>4209000</v>
      </c>
      <c r="Z119" s="21">
        <v>3740000</v>
      </c>
      <c r="AA119" s="21">
        <v>1897000</v>
      </c>
      <c r="AB119" s="21">
        <v>3139000</v>
      </c>
      <c r="AC119" s="21">
        <v>2857000</v>
      </c>
      <c r="AD119" s="21">
        <v>2203000</v>
      </c>
      <c r="AE119" s="21">
        <v>3795000</v>
      </c>
      <c r="AF119" s="21">
        <v>5377000</v>
      </c>
      <c r="AG119" s="21">
        <v>4442000</v>
      </c>
      <c r="AH119" s="21">
        <v>3898000</v>
      </c>
      <c r="AI119" s="21">
        <v>4880000</v>
      </c>
      <c r="AJ119" s="21">
        <v>4252000</v>
      </c>
    </row>
    <row r="120" spans="1:36" x14ac:dyDescent="0.25">
      <c r="A120" s="6"/>
    </row>
  </sheetData>
  <mergeCells count="2">
    <mergeCell ref="A1:D1"/>
    <mergeCell ref="A12:AJ12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2521-8CDE-4888-A07E-28402063DE71}">
  <sheetPr>
    <tabColor theme="5"/>
  </sheetPr>
  <dimension ref="A1:AJ76"/>
  <sheetViews>
    <sheetView workbookViewId="0">
      <selection activeCell="D14" sqref="D14:AJ53"/>
    </sheetView>
  </sheetViews>
  <sheetFormatPr defaultRowHeight="15" x14ac:dyDescent="0.25"/>
  <cols>
    <col min="1" max="1" width="46.28515625" customWidth="1"/>
    <col min="2" max="36" width="16.140625" customWidth="1"/>
  </cols>
  <sheetData>
    <row r="1" spans="1:36" ht="39.950000000000003" customHeight="1" x14ac:dyDescent="0.25">
      <c r="A1" s="1"/>
      <c r="B1" s="1"/>
      <c r="C1" s="1"/>
      <c r="D1" s="1"/>
    </row>
    <row r="2" spans="1:36" ht="18.75" x14ac:dyDescent="0.3">
      <c r="A2" s="33" t="s">
        <v>260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36" x14ac:dyDescent="0.25">
      <c r="A3" s="5" t="s">
        <v>1</v>
      </c>
    </row>
    <row r="5" spans="1:36" x14ac:dyDescent="0.25">
      <c r="A5" s="5" t="s">
        <v>2</v>
      </c>
      <c r="B5" s="6"/>
    </row>
    <row r="6" spans="1:36" x14ac:dyDescent="0.25">
      <c r="A6" s="5" t="s">
        <v>3</v>
      </c>
      <c r="B6" s="6"/>
    </row>
    <row r="7" spans="1:36" x14ac:dyDescent="0.25">
      <c r="A7" s="5" t="s">
        <v>4</v>
      </c>
      <c r="B7" s="6"/>
    </row>
    <row r="8" spans="1:36" x14ac:dyDescent="0.25">
      <c r="A8" s="5" t="s">
        <v>5</v>
      </c>
      <c r="B8" s="6"/>
    </row>
    <row r="9" spans="1:36" x14ac:dyDescent="0.25">
      <c r="A9" s="5" t="s">
        <v>6</v>
      </c>
      <c r="B9" s="6"/>
    </row>
    <row r="10" spans="1:36" x14ac:dyDescent="0.25">
      <c r="A10" s="5" t="s">
        <v>7</v>
      </c>
      <c r="B10" s="6"/>
    </row>
    <row r="11" spans="1:36" x14ac:dyDescent="0.25">
      <c r="A11" s="5" t="s">
        <v>9</v>
      </c>
      <c r="B11" s="6"/>
    </row>
    <row r="12" spans="1:36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 x14ac:dyDescent="0.25">
      <c r="A13" s="10" t="s">
        <v>12</v>
      </c>
      <c r="B13" s="12" t="s">
        <v>13</v>
      </c>
      <c r="C13" s="12" t="s">
        <v>14</v>
      </c>
      <c r="D13" s="12" t="s">
        <v>15</v>
      </c>
      <c r="E13" s="12" t="s">
        <v>16</v>
      </c>
      <c r="F13" s="12" t="s">
        <v>17</v>
      </c>
      <c r="G13" s="12" t="s">
        <v>18</v>
      </c>
      <c r="H13" s="12" t="s">
        <v>19</v>
      </c>
      <c r="I13" s="12" t="s">
        <v>20</v>
      </c>
      <c r="J13" s="12" t="s">
        <v>21</v>
      </c>
      <c r="K13" s="12" t="s">
        <v>22</v>
      </c>
      <c r="L13" s="12" t="s">
        <v>23</v>
      </c>
      <c r="M13" s="12" t="s">
        <v>24</v>
      </c>
      <c r="N13" s="12" t="s">
        <v>25</v>
      </c>
      <c r="O13" s="12" t="s">
        <v>26</v>
      </c>
      <c r="P13" s="12" t="s">
        <v>27</v>
      </c>
      <c r="Q13" s="12" t="s">
        <v>28</v>
      </c>
      <c r="R13" s="12" t="s">
        <v>29</v>
      </c>
      <c r="S13" s="12" t="s">
        <v>30</v>
      </c>
      <c r="T13" s="12" t="s">
        <v>31</v>
      </c>
      <c r="U13" s="12" t="s">
        <v>32</v>
      </c>
      <c r="V13" s="12" t="s">
        <v>33</v>
      </c>
      <c r="W13" s="12" t="s">
        <v>34</v>
      </c>
      <c r="X13" s="12" t="s">
        <v>35</v>
      </c>
      <c r="Y13" s="12" t="s">
        <v>36</v>
      </c>
      <c r="Z13" s="12" t="s">
        <v>37</v>
      </c>
      <c r="AA13" s="12" t="s">
        <v>38</v>
      </c>
      <c r="AB13" s="12" t="s">
        <v>39</v>
      </c>
      <c r="AC13" s="12" t="s">
        <v>40</v>
      </c>
      <c r="AD13" s="12" t="s">
        <v>41</v>
      </c>
      <c r="AE13" s="12" t="s">
        <v>42</v>
      </c>
      <c r="AF13" s="12" t="s">
        <v>43</v>
      </c>
      <c r="AG13" s="12" t="s">
        <v>44</v>
      </c>
      <c r="AH13" s="12" t="s">
        <v>45</v>
      </c>
      <c r="AI13" s="12" t="s">
        <v>46</v>
      </c>
      <c r="AJ13" s="12" t="s">
        <v>47</v>
      </c>
    </row>
    <row r="14" spans="1:36" ht="30" x14ac:dyDescent="0.25">
      <c r="A14" s="5" t="s">
        <v>51</v>
      </c>
      <c r="B14" s="14" t="s">
        <v>52</v>
      </c>
      <c r="C14" s="14" t="s">
        <v>52</v>
      </c>
      <c r="D14" s="14" t="s">
        <v>52</v>
      </c>
      <c r="E14" s="14" t="s">
        <v>52</v>
      </c>
      <c r="F14" s="14" t="s">
        <v>52</v>
      </c>
      <c r="G14" s="14" t="s">
        <v>52</v>
      </c>
      <c r="H14" s="14" t="s">
        <v>52</v>
      </c>
      <c r="I14" s="14" t="s">
        <v>52</v>
      </c>
      <c r="J14" s="14" t="s">
        <v>52</v>
      </c>
      <c r="K14" s="14" t="s">
        <v>52</v>
      </c>
      <c r="L14" s="14" t="s">
        <v>52</v>
      </c>
      <c r="M14" s="14" t="s">
        <v>52</v>
      </c>
      <c r="N14" s="14" t="s">
        <v>52</v>
      </c>
      <c r="O14" s="14" t="s">
        <v>52</v>
      </c>
      <c r="P14" s="14" t="s">
        <v>52</v>
      </c>
      <c r="Q14" s="14" t="s">
        <v>52</v>
      </c>
      <c r="R14" s="14" t="s">
        <v>52</v>
      </c>
      <c r="S14" s="14" t="s">
        <v>52</v>
      </c>
      <c r="T14" s="14" t="s">
        <v>52</v>
      </c>
      <c r="U14" s="14" t="s">
        <v>52</v>
      </c>
      <c r="V14" s="14" t="s">
        <v>52</v>
      </c>
      <c r="W14" s="14" t="s">
        <v>52</v>
      </c>
      <c r="X14" s="14" t="s">
        <v>52</v>
      </c>
      <c r="Y14" s="14" t="s">
        <v>52</v>
      </c>
      <c r="Z14" s="14" t="s">
        <v>52</v>
      </c>
      <c r="AA14" s="14" t="s">
        <v>52</v>
      </c>
      <c r="AB14" s="14" t="s">
        <v>52</v>
      </c>
      <c r="AC14" s="14" t="s">
        <v>52</v>
      </c>
      <c r="AD14" s="14" t="s">
        <v>52</v>
      </c>
      <c r="AE14" s="14" t="s">
        <v>52</v>
      </c>
      <c r="AF14" s="14" t="s">
        <v>52</v>
      </c>
      <c r="AG14" s="14" t="s">
        <v>52</v>
      </c>
      <c r="AH14" s="14" t="s">
        <v>52</v>
      </c>
      <c r="AI14" s="14" t="s">
        <v>52</v>
      </c>
      <c r="AJ14" s="14" t="s">
        <v>52</v>
      </c>
    </row>
    <row r="15" spans="1:36" x14ac:dyDescent="0.25">
      <c r="A15" s="5" t="s">
        <v>53</v>
      </c>
      <c r="B15" s="16">
        <v>33238</v>
      </c>
      <c r="C15" s="16">
        <v>33603</v>
      </c>
      <c r="D15" s="16">
        <v>33969</v>
      </c>
      <c r="E15" s="16">
        <v>34334</v>
      </c>
      <c r="F15" s="16">
        <v>34699</v>
      </c>
      <c r="G15" s="16">
        <v>35064</v>
      </c>
      <c r="H15" s="16">
        <v>35430</v>
      </c>
      <c r="I15" s="16">
        <v>35795</v>
      </c>
      <c r="J15" s="16">
        <v>36160</v>
      </c>
      <c r="K15" s="16">
        <v>36525</v>
      </c>
      <c r="L15" s="16">
        <v>36891</v>
      </c>
      <c r="M15" s="16">
        <v>37256</v>
      </c>
      <c r="N15" s="16">
        <v>37621</v>
      </c>
      <c r="O15" s="16">
        <v>37986</v>
      </c>
      <c r="P15" s="16">
        <v>38352</v>
      </c>
      <c r="Q15" s="16">
        <v>38717</v>
      </c>
      <c r="R15" s="16">
        <v>39082</v>
      </c>
      <c r="S15" s="16">
        <v>39447</v>
      </c>
      <c r="T15" s="16">
        <v>39813</v>
      </c>
      <c r="U15" s="16">
        <v>40178</v>
      </c>
      <c r="V15" s="16">
        <v>40543</v>
      </c>
      <c r="W15" s="16">
        <v>40908</v>
      </c>
      <c r="X15" s="16">
        <v>41274</v>
      </c>
      <c r="Y15" s="16">
        <v>41639</v>
      </c>
      <c r="Z15" s="16">
        <v>42004</v>
      </c>
      <c r="AA15" s="16">
        <v>42369</v>
      </c>
      <c r="AB15" s="16">
        <v>42735</v>
      </c>
      <c r="AC15" s="16">
        <v>43100</v>
      </c>
      <c r="AD15" s="16">
        <v>43465</v>
      </c>
      <c r="AE15" s="16">
        <v>43830</v>
      </c>
      <c r="AF15" s="16">
        <v>44196</v>
      </c>
      <c r="AG15" s="16">
        <v>44561</v>
      </c>
      <c r="AH15" s="16">
        <v>44926</v>
      </c>
      <c r="AI15" s="16">
        <v>45291</v>
      </c>
      <c r="AJ15" s="16">
        <v>45657</v>
      </c>
    </row>
    <row r="16" spans="1:36" x14ac:dyDescent="0.25">
      <c r="A16" s="5" t="s">
        <v>54</v>
      </c>
      <c r="B16" s="16">
        <v>34029</v>
      </c>
      <c r="C16" s="16">
        <v>34408</v>
      </c>
      <c r="D16" s="16">
        <v>34778</v>
      </c>
      <c r="E16" s="16">
        <v>35130</v>
      </c>
      <c r="F16" s="16">
        <v>35496</v>
      </c>
      <c r="G16" s="16">
        <v>35858</v>
      </c>
      <c r="H16" s="16">
        <v>36227</v>
      </c>
      <c r="I16" s="16">
        <v>36598</v>
      </c>
      <c r="J16" s="16">
        <v>36962</v>
      </c>
      <c r="K16" s="16">
        <v>37334</v>
      </c>
      <c r="L16" s="16">
        <v>37690</v>
      </c>
      <c r="M16" s="16">
        <v>38042</v>
      </c>
      <c r="N16" s="16">
        <v>38408</v>
      </c>
      <c r="O16" s="16">
        <v>38776</v>
      </c>
      <c r="P16" s="16">
        <v>39140</v>
      </c>
      <c r="Q16" s="16">
        <v>39505</v>
      </c>
      <c r="R16" s="16">
        <v>39868</v>
      </c>
      <c r="S16" s="16">
        <v>40233</v>
      </c>
      <c r="T16" s="16">
        <v>40596</v>
      </c>
      <c r="U16" s="16">
        <v>40967</v>
      </c>
      <c r="V16" s="16">
        <v>41320</v>
      </c>
      <c r="W16" s="16">
        <v>41695</v>
      </c>
      <c r="X16" s="16">
        <v>42059</v>
      </c>
      <c r="Y16" s="16">
        <v>42429</v>
      </c>
      <c r="Z16" s="16">
        <v>42794</v>
      </c>
      <c r="AA16" s="16">
        <v>43152</v>
      </c>
      <c r="AB16" s="16">
        <v>43511</v>
      </c>
      <c r="AC16" s="16">
        <v>43875</v>
      </c>
      <c r="AD16" s="16">
        <v>44239</v>
      </c>
      <c r="AE16" s="16">
        <v>44603</v>
      </c>
      <c r="AF16" s="16">
        <v>44960</v>
      </c>
      <c r="AG16" s="16">
        <v>45324</v>
      </c>
      <c r="AH16" s="16">
        <v>45688</v>
      </c>
      <c r="AI16" s="16">
        <v>45688</v>
      </c>
      <c r="AJ16" s="16">
        <v>45688</v>
      </c>
    </row>
    <row r="17" spans="1:36" x14ac:dyDescent="0.25">
      <c r="A17" s="5" t="s">
        <v>55</v>
      </c>
      <c r="B17" s="18">
        <v>1</v>
      </c>
      <c r="C17" s="18">
        <v>1</v>
      </c>
      <c r="D17" s="18">
        <v>1</v>
      </c>
      <c r="E17" s="18">
        <v>1</v>
      </c>
      <c r="F17" s="18">
        <v>1</v>
      </c>
      <c r="G17" s="18">
        <v>1</v>
      </c>
      <c r="H17" s="18">
        <v>1</v>
      </c>
      <c r="I17" s="18">
        <v>1</v>
      </c>
      <c r="J17" s="18">
        <v>1</v>
      </c>
      <c r="K17" s="18">
        <v>1</v>
      </c>
      <c r="L17" s="18">
        <v>1</v>
      </c>
      <c r="M17" s="18">
        <v>1</v>
      </c>
      <c r="N17" s="18">
        <v>1</v>
      </c>
      <c r="O17" s="18">
        <v>1</v>
      </c>
      <c r="P17" s="18">
        <v>1</v>
      </c>
      <c r="Q17" s="18">
        <v>1</v>
      </c>
      <c r="R17" s="18">
        <v>1</v>
      </c>
      <c r="S17" s="18">
        <v>1</v>
      </c>
      <c r="T17" s="18">
        <v>1</v>
      </c>
      <c r="U17" s="18">
        <v>1</v>
      </c>
      <c r="V17" s="18">
        <v>1</v>
      </c>
      <c r="W17" s="18">
        <v>1</v>
      </c>
      <c r="X17" s="18">
        <v>1</v>
      </c>
      <c r="Y17" s="18">
        <v>1</v>
      </c>
      <c r="Z17" s="18">
        <v>1</v>
      </c>
      <c r="AA17" s="18">
        <v>1</v>
      </c>
      <c r="AB17" s="18">
        <v>1</v>
      </c>
      <c r="AC17" s="18">
        <v>1</v>
      </c>
      <c r="AD17" s="18">
        <v>1</v>
      </c>
      <c r="AE17" s="18">
        <v>1</v>
      </c>
      <c r="AF17" s="18">
        <v>1</v>
      </c>
      <c r="AG17" s="18">
        <v>1</v>
      </c>
      <c r="AH17" s="18">
        <v>1</v>
      </c>
      <c r="AI17" s="18">
        <v>1</v>
      </c>
      <c r="AJ17" s="18">
        <v>1</v>
      </c>
    </row>
    <row r="18" spans="1:36" x14ac:dyDescent="0.25">
      <c r="A18" s="5" t="s">
        <v>56</v>
      </c>
      <c r="B18" s="18">
        <v>1</v>
      </c>
      <c r="C18" s="18">
        <v>1</v>
      </c>
      <c r="D18" s="18">
        <v>1</v>
      </c>
      <c r="E18" s="18">
        <v>1</v>
      </c>
      <c r="F18" s="18">
        <v>1</v>
      </c>
      <c r="G18" s="18">
        <v>1</v>
      </c>
      <c r="H18" s="18">
        <v>1</v>
      </c>
      <c r="I18" s="18">
        <v>1</v>
      </c>
      <c r="J18" s="18">
        <v>1</v>
      </c>
      <c r="K18" s="18">
        <v>1</v>
      </c>
      <c r="L18" s="18">
        <v>1</v>
      </c>
      <c r="M18" s="18">
        <v>1</v>
      </c>
      <c r="N18" s="18">
        <v>1</v>
      </c>
      <c r="O18" s="18">
        <v>1</v>
      </c>
      <c r="P18" s="18">
        <v>1</v>
      </c>
      <c r="Q18" s="18">
        <v>1</v>
      </c>
      <c r="R18" s="18">
        <v>1</v>
      </c>
      <c r="S18" s="18">
        <v>1</v>
      </c>
      <c r="T18" s="18">
        <v>1</v>
      </c>
      <c r="U18" s="18">
        <v>1</v>
      </c>
      <c r="V18" s="18">
        <v>1</v>
      </c>
      <c r="W18" s="18">
        <v>1</v>
      </c>
      <c r="X18" s="18">
        <v>1</v>
      </c>
      <c r="Y18" s="18">
        <v>1</v>
      </c>
      <c r="Z18" s="18">
        <v>1</v>
      </c>
      <c r="AA18" s="18">
        <v>1</v>
      </c>
      <c r="AB18" s="18">
        <v>1</v>
      </c>
      <c r="AC18" s="18">
        <v>1</v>
      </c>
      <c r="AD18" s="18">
        <v>1</v>
      </c>
      <c r="AE18" s="18">
        <v>1</v>
      </c>
      <c r="AF18" s="18">
        <v>1</v>
      </c>
      <c r="AG18" s="18">
        <v>1</v>
      </c>
      <c r="AH18" s="18">
        <v>1</v>
      </c>
      <c r="AI18" s="18">
        <v>1</v>
      </c>
      <c r="AJ18" s="18">
        <v>1</v>
      </c>
    </row>
    <row r="19" spans="1:36" x14ac:dyDescent="0.25">
      <c r="A19" s="5" t="s">
        <v>51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 x14ac:dyDescent="0.25">
      <c r="A20" s="20" t="s">
        <v>261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 x14ac:dyDescent="0.25">
      <c r="A21" s="5" t="s">
        <v>262</v>
      </c>
      <c r="B21" s="21">
        <v>310000</v>
      </c>
      <c r="C21" s="21">
        <v>-507000</v>
      </c>
      <c r="D21" s="21">
        <v>-1606000</v>
      </c>
      <c r="E21" s="21">
        <v>-238000</v>
      </c>
      <c r="F21" s="21">
        <v>201000</v>
      </c>
      <c r="G21" s="21">
        <v>301000</v>
      </c>
      <c r="H21" s="21">
        <v>273000</v>
      </c>
      <c r="I21" s="21">
        <v>452000</v>
      </c>
      <c r="J21" s="21">
        <v>364000</v>
      </c>
      <c r="K21" s="21">
        <v>44000</v>
      </c>
      <c r="L21" s="21">
        <v>-21000</v>
      </c>
      <c r="M21" s="21">
        <v>-218000</v>
      </c>
      <c r="N21" s="21">
        <v>61000</v>
      </c>
      <c r="O21" s="21">
        <v>-420000</v>
      </c>
      <c r="P21" s="21">
        <v>1135000</v>
      </c>
      <c r="Q21" s="21">
        <v>910000</v>
      </c>
      <c r="R21" s="21">
        <v>1374000</v>
      </c>
      <c r="S21" s="21">
        <v>879000</v>
      </c>
      <c r="T21" s="21">
        <v>2112000</v>
      </c>
      <c r="U21" s="21">
        <v>-1401000</v>
      </c>
      <c r="V21" s="21">
        <v>-482000</v>
      </c>
      <c r="W21" s="21">
        <v>-53000</v>
      </c>
      <c r="X21" s="21">
        <v>-124000</v>
      </c>
      <c r="Y21" s="21">
        <v>-1645000</v>
      </c>
      <c r="Z21" s="21">
        <v>102000</v>
      </c>
      <c r="AA21" s="21">
        <v>-1642000</v>
      </c>
      <c r="AB21" s="21">
        <v>-440000</v>
      </c>
      <c r="AC21" s="21">
        <v>387000</v>
      </c>
      <c r="AD21" s="21">
        <v>1115000</v>
      </c>
      <c r="AE21" s="21">
        <v>-630000</v>
      </c>
      <c r="AF21" s="21">
        <v>-1165000</v>
      </c>
      <c r="AG21" s="21">
        <v>4174000</v>
      </c>
      <c r="AH21" s="21">
        <v>2524000</v>
      </c>
      <c r="AI21" s="21">
        <v>895000</v>
      </c>
      <c r="AJ21" s="21">
        <v>384000</v>
      </c>
    </row>
    <row r="22" spans="1:36" x14ac:dyDescent="0.25">
      <c r="A22" s="5" t="s">
        <v>64</v>
      </c>
      <c r="B22" s="21">
        <v>278000</v>
      </c>
      <c r="C22" s="21">
        <v>253000</v>
      </c>
      <c r="D22" s="21">
        <v>288000</v>
      </c>
      <c r="E22" s="21">
        <v>314000</v>
      </c>
      <c r="F22" s="21">
        <v>314000</v>
      </c>
      <c r="G22" s="21">
        <v>318000</v>
      </c>
      <c r="H22" s="21">
        <v>292000</v>
      </c>
      <c r="I22" s="21">
        <v>303000</v>
      </c>
      <c r="J22" s="21">
        <v>283000</v>
      </c>
      <c r="K22" s="21">
        <v>304000</v>
      </c>
      <c r="L22" s="21">
        <v>360000</v>
      </c>
      <c r="M22" s="21">
        <v>344000</v>
      </c>
      <c r="N22" s="21">
        <v>350000</v>
      </c>
      <c r="O22" s="21">
        <v>363000</v>
      </c>
      <c r="P22" s="21">
        <v>382000</v>
      </c>
      <c r="Q22" s="21">
        <v>366000</v>
      </c>
      <c r="R22" s="21">
        <v>436000</v>
      </c>
      <c r="S22" s="21">
        <v>498000</v>
      </c>
      <c r="T22" s="21">
        <v>591000</v>
      </c>
      <c r="U22" s="21">
        <v>649000</v>
      </c>
      <c r="V22" s="21">
        <v>649000</v>
      </c>
      <c r="W22" s="21">
        <v>670000</v>
      </c>
      <c r="X22" s="21">
        <v>650000</v>
      </c>
      <c r="Y22" s="21">
        <v>677000</v>
      </c>
      <c r="Z22" s="21">
        <v>627000</v>
      </c>
      <c r="AA22" s="21">
        <v>547000</v>
      </c>
      <c r="AB22" s="21">
        <v>507000</v>
      </c>
      <c r="AC22" s="21">
        <v>501000</v>
      </c>
      <c r="AD22" s="21">
        <v>521000</v>
      </c>
      <c r="AE22" s="21">
        <v>616000</v>
      </c>
      <c r="AF22" s="21">
        <v>643000</v>
      </c>
      <c r="AG22" s="21">
        <v>791000</v>
      </c>
      <c r="AH22" s="21">
        <v>791000</v>
      </c>
      <c r="AI22" s="21">
        <v>874000</v>
      </c>
      <c r="AJ22" s="21">
        <v>893000</v>
      </c>
    </row>
    <row r="23" spans="1:36" x14ac:dyDescent="0.25">
      <c r="A23" s="5" t="s">
        <v>263</v>
      </c>
      <c r="B23" s="14" t="s">
        <v>163</v>
      </c>
      <c r="C23" s="14" t="s">
        <v>163</v>
      </c>
      <c r="D23" s="14" t="s">
        <v>163</v>
      </c>
      <c r="E23" s="14" t="s">
        <v>163</v>
      </c>
      <c r="F23" s="14" t="s">
        <v>163</v>
      </c>
      <c r="G23" s="14" t="s">
        <v>163</v>
      </c>
      <c r="H23" s="14" t="s">
        <v>163</v>
      </c>
      <c r="I23" s="14" t="s">
        <v>163</v>
      </c>
      <c r="J23" s="14" t="s">
        <v>163</v>
      </c>
      <c r="K23" s="14" t="s">
        <v>163</v>
      </c>
      <c r="L23" s="14" t="s">
        <v>163</v>
      </c>
      <c r="M23" s="14" t="s">
        <v>163</v>
      </c>
      <c r="N23" s="14" t="s">
        <v>163</v>
      </c>
      <c r="O23" s="14" t="s">
        <v>163</v>
      </c>
      <c r="P23" s="14" t="s">
        <v>163</v>
      </c>
      <c r="Q23" s="14" t="s">
        <v>163</v>
      </c>
      <c r="R23" s="14" t="s">
        <v>163</v>
      </c>
      <c r="S23" s="21">
        <v>8000</v>
      </c>
      <c r="T23" s="21">
        <v>14000</v>
      </c>
      <c r="U23" s="21">
        <v>12000</v>
      </c>
      <c r="V23" s="21">
        <v>9000</v>
      </c>
      <c r="W23" s="21">
        <v>11000</v>
      </c>
      <c r="X23" s="21">
        <v>11000</v>
      </c>
      <c r="Y23" s="21">
        <v>7000</v>
      </c>
      <c r="Z23" s="14" t="s">
        <v>163</v>
      </c>
      <c r="AA23" s="14" t="s">
        <v>163</v>
      </c>
      <c r="AB23" s="14" t="s">
        <v>163</v>
      </c>
      <c r="AC23" s="14" t="s">
        <v>163</v>
      </c>
      <c r="AD23" s="14" t="s">
        <v>163</v>
      </c>
      <c r="AE23" s="14" t="s">
        <v>163</v>
      </c>
      <c r="AF23" s="14" t="s">
        <v>163</v>
      </c>
      <c r="AG23" s="14" t="s">
        <v>163</v>
      </c>
      <c r="AH23" s="14" t="s">
        <v>163</v>
      </c>
      <c r="AI23" s="21">
        <v>42000</v>
      </c>
      <c r="AJ23" s="21">
        <v>20000</v>
      </c>
    </row>
    <row r="24" spans="1:36" x14ac:dyDescent="0.25">
      <c r="A24" s="5" t="s">
        <v>264</v>
      </c>
      <c r="B24" s="21">
        <v>278000</v>
      </c>
      <c r="C24" s="21">
        <v>253000</v>
      </c>
      <c r="D24" s="21">
        <v>288000</v>
      </c>
      <c r="E24" s="21">
        <v>314000</v>
      </c>
      <c r="F24" s="21">
        <v>314000</v>
      </c>
      <c r="G24" s="21">
        <v>318000</v>
      </c>
      <c r="H24" s="21">
        <v>292000</v>
      </c>
      <c r="I24" s="21">
        <v>303000</v>
      </c>
      <c r="J24" s="21">
        <v>283000</v>
      </c>
      <c r="K24" s="21">
        <v>304000</v>
      </c>
      <c r="L24" s="21">
        <v>360000</v>
      </c>
      <c r="M24" s="21">
        <v>344000</v>
      </c>
      <c r="N24" s="21">
        <v>350000</v>
      </c>
      <c r="O24" s="21">
        <v>363000</v>
      </c>
      <c r="P24" s="21">
        <v>382000</v>
      </c>
      <c r="Q24" s="21">
        <v>366000</v>
      </c>
      <c r="R24" s="21">
        <v>436000</v>
      </c>
      <c r="S24" s="21">
        <v>506000</v>
      </c>
      <c r="T24" s="21">
        <v>605000</v>
      </c>
      <c r="U24" s="21">
        <v>661000</v>
      </c>
      <c r="V24" s="21">
        <v>658000</v>
      </c>
      <c r="W24" s="21">
        <v>681000</v>
      </c>
      <c r="X24" s="21">
        <v>661000</v>
      </c>
      <c r="Y24" s="21">
        <v>684000</v>
      </c>
      <c r="Z24" s="21">
        <v>627000</v>
      </c>
      <c r="AA24" s="21">
        <v>547000</v>
      </c>
      <c r="AB24" s="21">
        <v>507000</v>
      </c>
      <c r="AC24" s="21">
        <v>501000</v>
      </c>
      <c r="AD24" s="21">
        <v>521000</v>
      </c>
      <c r="AE24" s="21">
        <v>616000</v>
      </c>
      <c r="AF24" s="21">
        <v>643000</v>
      </c>
      <c r="AG24" s="21">
        <v>791000</v>
      </c>
      <c r="AH24" s="21">
        <v>791000</v>
      </c>
      <c r="AI24" s="21">
        <v>916000</v>
      </c>
      <c r="AJ24" s="21">
        <v>913000</v>
      </c>
    </row>
    <row r="25" spans="1:36" x14ac:dyDescent="0.25">
      <c r="A25" s="5" t="s">
        <v>87</v>
      </c>
      <c r="B25" s="14" t="s">
        <v>163</v>
      </c>
      <c r="C25" s="14" t="s">
        <v>163</v>
      </c>
      <c r="D25" s="14" t="s">
        <v>163</v>
      </c>
      <c r="E25" s="14" t="s">
        <v>163</v>
      </c>
      <c r="F25" s="14" t="s">
        <v>163</v>
      </c>
      <c r="G25" s="14" t="s">
        <v>163</v>
      </c>
      <c r="H25" s="14" t="s">
        <v>163</v>
      </c>
      <c r="I25" s="14" t="s">
        <v>163</v>
      </c>
      <c r="J25" s="14" t="s">
        <v>163</v>
      </c>
      <c r="K25" s="14" t="s">
        <v>163</v>
      </c>
      <c r="L25" s="14" t="s">
        <v>163</v>
      </c>
      <c r="M25" s="14" t="s">
        <v>163</v>
      </c>
      <c r="N25" s="14" t="s">
        <v>163</v>
      </c>
      <c r="O25" s="14" t="s">
        <v>163</v>
      </c>
      <c r="P25" s="21">
        <v>33000</v>
      </c>
      <c r="Q25" s="21">
        <v>37000</v>
      </c>
      <c r="R25" s="21">
        <v>25000</v>
      </c>
      <c r="S25" s="14" t="s">
        <v>163</v>
      </c>
      <c r="T25" s="14" t="s">
        <v>163</v>
      </c>
      <c r="U25" s="14" t="s">
        <v>163</v>
      </c>
      <c r="V25" s="14" t="s">
        <v>163</v>
      </c>
      <c r="W25" s="14" t="s">
        <v>163</v>
      </c>
      <c r="X25" s="14" t="s">
        <v>163</v>
      </c>
      <c r="Y25" s="14" t="s">
        <v>163</v>
      </c>
      <c r="Z25" s="14" t="s">
        <v>163</v>
      </c>
      <c r="AA25" s="14" t="s">
        <v>163</v>
      </c>
      <c r="AB25" s="14" t="s">
        <v>163</v>
      </c>
      <c r="AC25" s="14" t="s">
        <v>163</v>
      </c>
      <c r="AD25" s="14" t="s">
        <v>163</v>
      </c>
      <c r="AE25" s="14" t="s">
        <v>163</v>
      </c>
      <c r="AF25" s="14" t="s">
        <v>163</v>
      </c>
      <c r="AG25" s="14" t="s">
        <v>163</v>
      </c>
      <c r="AH25" s="14" t="s">
        <v>163</v>
      </c>
      <c r="AI25" s="14" t="s">
        <v>163</v>
      </c>
      <c r="AJ25" s="14" t="s">
        <v>163</v>
      </c>
    </row>
    <row r="26" spans="1:36" x14ac:dyDescent="0.25">
      <c r="A26" s="5" t="s">
        <v>265</v>
      </c>
      <c r="B26" s="21">
        <v>-28000</v>
      </c>
      <c r="C26" s="21">
        <v>-18000</v>
      </c>
      <c r="D26" s="21">
        <v>-23000</v>
      </c>
      <c r="E26" s="21">
        <v>-216000</v>
      </c>
      <c r="F26" s="21">
        <v>-12000</v>
      </c>
      <c r="G26" s="21">
        <v>-21000</v>
      </c>
      <c r="H26" s="21">
        <v>-16000</v>
      </c>
      <c r="I26" s="21">
        <v>-57000</v>
      </c>
      <c r="J26" s="21">
        <v>-54000</v>
      </c>
      <c r="K26" s="21">
        <v>-21000</v>
      </c>
      <c r="L26" s="21">
        <v>-46000</v>
      </c>
      <c r="M26" s="21">
        <v>-22000</v>
      </c>
      <c r="N26" s="21">
        <v>-29000</v>
      </c>
      <c r="O26" s="21">
        <v>-119000</v>
      </c>
      <c r="P26" s="21">
        <v>-64000</v>
      </c>
      <c r="Q26" s="21">
        <v>-21000</v>
      </c>
      <c r="R26" s="21">
        <v>-13000</v>
      </c>
      <c r="S26" s="21">
        <v>-23000</v>
      </c>
      <c r="T26" s="21">
        <v>-17000</v>
      </c>
      <c r="U26" s="21">
        <v>-124000</v>
      </c>
      <c r="V26" s="21">
        <v>-7000</v>
      </c>
      <c r="W26" s="21">
        <v>-25000</v>
      </c>
      <c r="X26" s="21">
        <v>296000</v>
      </c>
      <c r="Y26" s="14" t="s">
        <v>163</v>
      </c>
      <c r="Z26" s="21">
        <v>393000</v>
      </c>
      <c r="AA26" s="21">
        <v>-2000</v>
      </c>
      <c r="AB26" s="21">
        <v>5000</v>
      </c>
      <c r="AC26" s="21">
        <v>-5000</v>
      </c>
      <c r="AD26" s="21">
        <v>-6000</v>
      </c>
      <c r="AE26" s="21">
        <v>-1000</v>
      </c>
      <c r="AF26" s="21">
        <v>-149000</v>
      </c>
      <c r="AG26" s="21">
        <v>-513000</v>
      </c>
      <c r="AH26" s="21">
        <v>-12000</v>
      </c>
      <c r="AI26" s="21">
        <v>-6000</v>
      </c>
      <c r="AJ26" s="21">
        <v>-5000</v>
      </c>
    </row>
    <row r="27" spans="1:36" x14ac:dyDescent="0.25">
      <c r="A27" s="5" t="s">
        <v>266</v>
      </c>
      <c r="B27" s="14" t="s">
        <v>163</v>
      </c>
      <c r="C27" s="14" t="s">
        <v>163</v>
      </c>
      <c r="D27" s="14" t="s">
        <v>163</v>
      </c>
      <c r="E27" s="14" t="s">
        <v>163</v>
      </c>
      <c r="F27" s="14" t="s">
        <v>163</v>
      </c>
      <c r="G27" s="14" t="s">
        <v>163</v>
      </c>
      <c r="H27" s="14" t="s">
        <v>163</v>
      </c>
      <c r="I27" s="14" t="s">
        <v>163</v>
      </c>
      <c r="J27" s="14" t="s">
        <v>163</v>
      </c>
      <c r="K27" s="14" t="s">
        <v>163</v>
      </c>
      <c r="L27" s="14" t="s">
        <v>163</v>
      </c>
      <c r="M27" s="14" t="s">
        <v>163</v>
      </c>
      <c r="N27" s="14" t="s">
        <v>163</v>
      </c>
      <c r="O27" s="14" t="s">
        <v>163</v>
      </c>
      <c r="P27" s="14" t="s">
        <v>163</v>
      </c>
      <c r="Q27" s="14" t="s">
        <v>163</v>
      </c>
      <c r="R27" s="14" t="s">
        <v>163</v>
      </c>
      <c r="S27" s="14" t="s">
        <v>163</v>
      </c>
      <c r="T27" s="14" t="s">
        <v>163</v>
      </c>
      <c r="U27" s="14" t="s">
        <v>163</v>
      </c>
      <c r="V27" s="14" t="s">
        <v>163</v>
      </c>
      <c r="W27" s="14" t="s">
        <v>163</v>
      </c>
      <c r="X27" s="14" t="s">
        <v>163</v>
      </c>
      <c r="Y27" s="14" t="s">
        <v>163</v>
      </c>
      <c r="Z27" s="14" t="s">
        <v>163</v>
      </c>
      <c r="AA27" s="21">
        <v>392000</v>
      </c>
      <c r="AB27" s="14" t="s">
        <v>163</v>
      </c>
      <c r="AC27" s="21">
        <v>-72000</v>
      </c>
      <c r="AD27" s="21">
        <v>-20000</v>
      </c>
      <c r="AE27" s="14" t="s">
        <v>163</v>
      </c>
      <c r="AF27" s="21">
        <v>-25000</v>
      </c>
      <c r="AG27" s="21">
        <v>-111000</v>
      </c>
      <c r="AH27" s="14" t="s">
        <v>163</v>
      </c>
      <c r="AI27" s="14" t="s">
        <v>163</v>
      </c>
      <c r="AJ27" s="14" t="s">
        <v>163</v>
      </c>
    </row>
    <row r="28" spans="1:36" x14ac:dyDescent="0.25">
      <c r="A28" s="5" t="s">
        <v>267</v>
      </c>
      <c r="B28" s="14" t="s">
        <v>163</v>
      </c>
      <c r="C28" s="21">
        <v>402000</v>
      </c>
      <c r="D28" s="21">
        <v>10000</v>
      </c>
      <c r="E28" s="21">
        <v>42000</v>
      </c>
      <c r="F28" s="14" t="s">
        <v>163</v>
      </c>
      <c r="G28" s="21">
        <v>16000</v>
      </c>
      <c r="H28" s="14" t="s">
        <v>163</v>
      </c>
      <c r="I28" s="14" t="s">
        <v>163</v>
      </c>
      <c r="J28" s="14" t="s">
        <v>163</v>
      </c>
      <c r="K28" s="14" t="s">
        <v>163</v>
      </c>
      <c r="L28" s="14" t="s">
        <v>163</v>
      </c>
      <c r="M28" s="14" t="s">
        <v>163</v>
      </c>
      <c r="N28" s="14" t="s">
        <v>163</v>
      </c>
      <c r="O28" s="21">
        <v>594000</v>
      </c>
      <c r="P28" s="14" t="s">
        <v>163</v>
      </c>
      <c r="Q28" s="14" t="s">
        <v>163</v>
      </c>
      <c r="R28" s="21">
        <v>5000</v>
      </c>
      <c r="S28" s="14" t="s">
        <v>163</v>
      </c>
      <c r="T28" s="14" t="s">
        <v>163</v>
      </c>
      <c r="U28" s="14" t="s">
        <v>163</v>
      </c>
      <c r="V28" s="14" t="s">
        <v>163</v>
      </c>
      <c r="W28" s="14" t="s">
        <v>163</v>
      </c>
      <c r="X28" s="14" t="s">
        <v>163</v>
      </c>
      <c r="Y28" s="21">
        <v>2054000</v>
      </c>
      <c r="Z28" s="21">
        <v>256000</v>
      </c>
      <c r="AA28" s="21">
        <v>322000</v>
      </c>
      <c r="AB28" s="21">
        <v>136000</v>
      </c>
      <c r="AC28" s="21">
        <v>31000</v>
      </c>
      <c r="AD28" s="14" t="s">
        <v>163</v>
      </c>
      <c r="AE28" s="21">
        <v>275000</v>
      </c>
      <c r="AF28" s="21">
        <v>401000</v>
      </c>
      <c r="AG28" s="21">
        <v>401000</v>
      </c>
      <c r="AH28" s="21">
        <v>211000</v>
      </c>
      <c r="AI28" s="21">
        <v>165000</v>
      </c>
      <c r="AJ28" s="21">
        <v>27000</v>
      </c>
    </row>
    <row r="29" spans="1:36" x14ac:dyDescent="0.25">
      <c r="A29" s="5" t="s">
        <v>268</v>
      </c>
      <c r="B29" s="14" t="s">
        <v>163</v>
      </c>
      <c r="C29" s="14" t="s">
        <v>163</v>
      </c>
      <c r="D29" s="14" t="s">
        <v>163</v>
      </c>
      <c r="E29" s="14" t="s">
        <v>163</v>
      </c>
      <c r="F29" s="14" t="s">
        <v>163</v>
      </c>
      <c r="G29" s="14" t="s">
        <v>163</v>
      </c>
      <c r="H29" s="14" t="s">
        <v>163</v>
      </c>
      <c r="I29" s="14" t="s">
        <v>163</v>
      </c>
      <c r="J29" s="14" t="s">
        <v>163</v>
      </c>
      <c r="K29" s="21">
        <v>89000</v>
      </c>
      <c r="L29" s="21">
        <v>18000</v>
      </c>
      <c r="M29" s="21">
        <v>-47000</v>
      </c>
      <c r="N29" s="21">
        <v>-9000</v>
      </c>
      <c r="O29" s="21">
        <v>47000</v>
      </c>
      <c r="P29" s="21">
        <v>-14000</v>
      </c>
      <c r="Q29" s="21">
        <v>10000</v>
      </c>
      <c r="R29" s="21">
        <v>-9000</v>
      </c>
      <c r="S29" s="21">
        <v>24000</v>
      </c>
      <c r="T29" s="21">
        <v>-29000</v>
      </c>
      <c r="U29" s="21">
        <v>41000</v>
      </c>
      <c r="V29" s="21">
        <v>-14000</v>
      </c>
      <c r="W29" s="21">
        <v>-52000</v>
      </c>
      <c r="X29" s="21">
        <v>-45000</v>
      </c>
      <c r="Y29" s="21">
        <v>-27000</v>
      </c>
      <c r="Z29" s="21">
        <v>-135000</v>
      </c>
      <c r="AA29" s="21">
        <v>-28000</v>
      </c>
      <c r="AB29" s="21">
        <v>-89000</v>
      </c>
      <c r="AC29" s="21">
        <v>-34000</v>
      </c>
      <c r="AD29" s="21">
        <v>-65000</v>
      </c>
      <c r="AE29" s="21">
        <v>-74000</v>
      </c>
      <c r="AF29" s="21">
        <v>111000</v>
      </c>
      <c r="AG29" s="21">
        <v>-168000</v>
      </c>
      <c r="AH29" s="21">
        <v>-221000</v>
      </c>
      <c r="AI29" s="21">
        <v>-1000</v>
      </c>
      <c r="AJ29" s="21">
        <v>-3000</v>
      </c>
    </row>
    <row r="30" spans="1:36" x14ac:dyDescent="0.25">
      <c r="A30" s="5" t="s">
        <v>269</v>
      </c>
      <c r="B30" s="14" t="s">
        <v>163</v>
      </c>
      <c r="C30" s="14" t="s">
        <v>163</v>
      </c>
      <c r="D30" s="14" t="s">
        <v>163</v>
      </c>
      <c r="E30" s="14" t="s">
        <v>163</v>
      </c>
      <c r="F30" s="14" t="s">
        <v>163</v>
      </c>
      <c r="G30" s="14" t="s">
        <v>163</v>
      </c>
      <c r="H30" s="14" t="s">
        <v>163</v>
      </c>
      <c r="I30" s="14" t="s">
        <v>163</v>
      </c>
      <c r="J30" s="14" t="s">
        <v>163</v>
      </c>
      <c r="K30" s="21">
        <v>1000</v>
      </c>
      <c r="L30" s="21">
        <v>47000</v>
      </c>
      <c r="M30" s="21">
        <v>108000</v>
      </c>
      <c r="N30" s="21">
        <v>29000</v>
      </c>
      <c r="O30" s="21">
        <v>43000</v>
      </c>
      <c r="P30" s="21">
        <v>16000</v>
      </c>
      <c r="Q30" s="21">
        <v>10000</v>
      </c>
      <c r="R30" s="21">
        <v>3000</v>
      </c>
      <c r="S30" s="21">
        <v>-14000</v>
      </c>
      <c r="T30" s="21">
        <v>24000</v>
      </c>
      <c r="U30" s="21">
        <v>8000</v>
      </c>
      <c r="V30" s="21">
        <v>15000</v>
      </c>
      <c r="W30" s="21">
        <v>3000</v>
      </c>
      <c r="X30" s="21">
        <v>-1000</v>
      </c>
      <c r="Y30" s="21">
        <v>5000</v>
      </c>
      <c r="Z30" s="14" t="s">
        <v>163</v>
      </c>
      <c r="AA30" s="21">
        <v>-15000</v>
      </c>
      <c r="AB30" s="14" t="s">
        <v>163</v>
      </c>
      <c r="AC30" s="14" t="s">
        <v>163</v>
      </c>
      <c r="AD30" s="14" t="s">
        <v>163</v>
      </c>
      <c r="AE30" s="14" t="s">
        <v>163</v>
      </c>
      <c r="AF30" s="14" t="s">
        <v>163</v>
      </c>
      <c r="AG30" s="14" t="s">
        <v>163</v>
      </c>
      <c r="AH30" s="14" t="s">
        <v>163</v>
      </c>
      <c r="AI30" s="14" t="s">
        <v>163</v>
      </c>
      <c r="AJ30" s="14" t="s">
        <v>163</v>
      </c>
    </row>
    <row r="31" spans="1:36" x14ac:dyDescent="0.25">
      <c r="A31" s="5" t="s">
        <v>270</v>
      </c>
      <c r="B31" s="21">
        <v>434000</v>
      </c>
      <c r="C31" s="21">
        <v>-394000</v>
      </c>
      <c r="D31" s="21">
        <v>1039000</v>
      </c>
      <c r="E31" s="21">
        <v>-131000</v>
      </c>
      <c r="F31" s="21">
        <v>83000</v>
      </c>
      <c r="G31" s="21">
        <v>-280000</v>
      </c>
      <c r="H31" s="21">
        <v>-213000</v>
      </c>
      <c r="I31" s="21">
        <v>-202000</v>
      </c>
      <c r="J31" s="21">
        <v>-137000</v>
      </c>
      <c r="K31" s="21">
        <v>-159000</v>
      </c>
      <c r="L31" s="21">
        <v>-350000</v>
      </c>
      <c r="M31" s="21">
        <v>-39000</v>
      </c>
      <c r="N31" s="21">
        <v>48000</v>
      </c>
      <c r="O31" s="21">
        <v>-202000</v>
      </c>
      <c r="P31" s="21">
        <v>113000</v>
      </c>
      <c r="Q31" s="21">
        <v>-148000</v>
      </c>
      <c r="R31" s="21">
        <v>-170000</v>
      </c>
      <c r="S31" s="21">
        <v>286000</v>
      </c>
      <c r="T31" s="21">
        <v>-410000</v>
      </c>
      <c r="U31" s="21">
        <v>-454000</v>
      </c>
      <c r="V31" s="21">
        <v>160000</v>
      </c>
      <c r="W31" s="21">
        <v>33000</v>
      </c>
      <c r="X31" s="21">
        <v>-4000</v>
      </c>
      <c r="Y31" s="21">
        <v>-322000</v>
      </c>
      <c r="Z31" s="21">
        <v>14000</v>
      </c>
      <c r="AA31" s="21">
        <v>229000</v>
      </c>
      <c r="AB31" s="21">
        <v>29000</v>
      </c>
      <c r="AC31" s="21">
        <v>-2000</v>
      </c>
      <c r="AD31" s="21">
        <v>-154000</v>
      </c>
      <c r="AE31" s="21">
        <v>303000</v>
      </c>
      <c r="AF31" s="21">
        <v>-151000</v>
      </c>
      <c r="AG31" s="21">
        <v>255000</v>
      </c>
      <c r="AH31" s="21">
        <v>288000</v>
      </c>
      <c r="AI31" s="21">
        <v>-28000</v>
      </c>
      <c r="AJ31" s="21">
        <v>47000</v>
      </c>
    </row>
    <row r="32" spans="1:36" x14ac:dyDescent="0.25">
      <c r="A32" s="5" t="s">
        <v>271</v>
      </c>
      <c r="B32" s="21">
        <v>-361000</v>
      </c>
      <c r="C32" s="21">
        <v>162000</v>
      </c>
      <c r="D32" s="21">
        <v>91000</v>
      </c>
      <c r="E32" s="21">
        <v>-164000</v>
      </c>
      <c r="F32" s="21">
        <v>-135000</v>
      </c>
      <c r="G32" s="21">
        <v>107000</v>
      </c>
      <c r="H32" s="21">
        <v>-10000</v>
      </c>
      <c r="I32" s="21">
        <v>-24000</v>
      </c>
      <c r="J32" s="21">
        <v>202000</v>
      </c>
      <c r="K32" s="21">
        <v>-466000</v>
      </c>
      <c r="L32" s="21">
        <v>-43000</v>
      </c>
      <c r="M32" s="21">
        <v>116000</v>
      </c>
      <c r="N32" s="21">
        <v>-134000</v>
      </c>
      <c r="O32" s="21">
        <v>-99000</v>
      </c>
      <c r="P32" s="21">
        <v>-550000</v>
      </c>
      <c r="Q32" s="21">
        <v>165000</v>
      </c>
      <c r="R32" s="21">
        <v>-93000</v>
      </c>
      <c r="S32" s="21">
        <v>512000</v>
      </c>
      <c r="T32" s="21">
        <v>345000</v>
      </c>
      <c r="U32" s="21">
        <v>942000</v>
      </c>
      <c r="V32" s="21">
        <v>-489000</v>
      </c>
      <c r="W32" s="21">
        <v>-424000</v>
      </c>
      <c r="X32" s="21">
        <v>246000</v>
      </c>
      <c r="Y32" s="21">
        <v>114000</v>
      </c>
      <c r="Z32" s="21">
        <v>-199000</v>
      </c>
      <c r="AA32" s="21">
        <v>792000</v>
      </c>
      <c r="AB32" s="21">
        <v>-182000</v>
      </c>
      <c r="AC32" s="21">
        <v>-36000</v>
      </c>
      <c r="AD32" s="21">
        <v>-312000</v>
      </c>
      <c r="AE32" s="21">
        <v>453000</v>
      </c>
      <c r="AF32" s="21">
        <v>98000</v>
      </c>
      <c r="AG32" s="21">
        <v>-955000</v>
      </c>
      <c r="AH32" s="21">
        <v>370000</v>
      </c>
      <c r="AI32" s="21">
        <v>103000</v>
      </c>
      <c r="AJ32" s="21">
        <v>174000</v>
      </c>
    </row>
    <row r="33" spans="1:36" x14ac:dyDescent="0.25">
      <c r="A33" s="5" t="s">
        <v>272</v>
      </c>
      <c r="B33" s="21">
        <v>-58000</v>
      </c>
      <c r="C33" s="21">
        <v>59000</v>
      </c>
      <c r="D33" s="21">
        <v>-21000</v>
      </c>
      <c r="E33" s="21">
        <v>14000</v>
      </c>
      <c r="F33" s="21">
        <v>-29000</v>
      </c>
      <c r="G33" s="21">
        <v>-14000</v>
      </c>
      <c r="H33" s="21">
        <v>-47000</v>
      </c>
      <c r="I33" s="21">
        <v>-57000</v>
      </c>
      <c r="J33" s="21">
        <v>7000</v>
      </c>
      <c r="K33" s="21">
        <v>-14000</v>
      </c>
      <c r="L33" s="21">
        <v>-63000</v>
      </c>
      <c r="M33" s="21">
        <v>104000</v>
      </c>
      <c r="N33" s="21">
        <v>-160000</v>
      </c>
      <c r="O33" s="21">
        <v>190000</v>
      </c>
      <c r="P33" s="21">
        <v>38000</v>
      </c>
      <c r="Q33" s="21">
        <v>-161000</v>
      </c>
      <c r="R33" s="21">
        <v>-109000</v>
      </c>
      <c r="S33" s="21">
        <v>305000</v>
      </c>
      <c r="T33" s="21">
        <v>-376000</v>
      </c>
      <c r="U33" s="21">
        <v>813000</v>
      </c>
      <c r="V33" s="21">
        <v>-688000</v>
      </c>
      <c r="W33" s="21">
        <v>-460000</v>
      </c>
      <c r="X33" s="21">
        <v>192000</v>
      </c>
      <c r="Y33" s="21">
        <v>-201000</v>
      </c>
      <c r="Z33" s="21">
        <v>-247000</v>
      </c>
      <c r="AA33" s="21">
        <v>391000</v>
      </c>
      <c r="AB33" s="21">
        <v>491000</v>
      </c>
      <c r="AC33" s="21">
        <v>-117000</v>
      </c>
      <c r="AD33" s="21">
        <v>-374000</v>
      </c>
      <c r="AE33" s="21">
        <v>296000</v>
      </c>
      <c r="AF33" s="21">
        <v>506000</v>
      </c>
      <c r="AG33" s="21">
        <v>-677000</v>
      </c>
      <c r="AH33" s="21">
        <v>-222000</v>
      </c>
      <c r="AI33" s="21">
        <v>257000</v>
      </c>
      <c r="AJ33" s="21">
        <v>-71000</v>
      </c>
    </row>
    <row r="34" spans="1:36" x14ac:dyDescent="0.25">
      <c r="A34" s="5" t="s">
        <v>273</v>
      </c>
      <c r="B34" s="21">
        <v>-156000</v>
      </c>
      <c r="C34" s="21">
        <v>52000</v>
      </c>
      <c r="D34" s="21">
        <v>133000</v>
      </c>
      <c r="E34" s="21">
        <v>469000</v>
      </c>
      <c r="F34" s="21">
        <v>-344000</v>
      </c>
      <c r="G34" s="21">
        <v>160000</v>
      </c>
      <c r="H34" s="21">
        <v>-193000</v>
      </c>
      <c r="I34" s="21">
        <v>61000</v>
      </c>
      <c r="J34" s="21">
        <v>-285000</v>
      </c>
      <c r="K34" s="21">
        <v>239000</v>
      </c>
      <c r="L34" s="21">
        <v>-262000</v>
      </c>
      <c r="M34" s="21">
        <v>-87000</v>
      </c>
      <c r="N34" s="21">
        <v>196000</v>
      </c>
      <c r="O34" s="21">
        <v>297000</v>
      </c>
      <c r="P34" s="21">
        <v>311000</v>
      </c>
      <c r="Q34" s="21">
        <v>50000</v>
      </c>
      <c r="R34" s="21">
        <v>232000</v>
      </c>
      <c r="S34" s="21">
        <v>-440000</v>
      </c>
      <c r="T34" s="21">
        <v>114000</v>
      </c>
      <c r="U34" s="21">
        <v>-276000</v>
      </c>
      <c r="V34" s="21">
        <v>412000</v>
      </c>
      <c r="W34" s="21">
        <v>332000</v>
      </c>
      <c r="X34" s="21">
        <v>-103000</v>
      </c>
      <c r="Y34" s="21">
        <v>-70000</v>
      </c>
      <c r="Z34" s="21">
        <v>581000</v>
      </c>
      <c r="AA34" s="21">
        <v>-632000</v>
      </c>
      <c r="AB34" s="21">
        <v>287000</v>
      </c>
      <c r="AC34" s="21">
        <v>225000</v>
      </c>
      <c r="AD34" s="21">
        <v>282000</v>
      </c>
      <c r="AE34" s="21">
        <v>-473000</v>
      </c>
      <c r="AF34" s="21">
        <v>-29000</v>
      </c>
      <c r="AG34" s="21">
        <v>783000</v>
      </c>
      <c r="AH34" s="21">
        <v>-180000</v>
      </c>
      <c r="AI34" s="21">
        <v>25000</v>
      </c>
      <c r="AJ34" s="21">
        <v>-285000</v>
      </c>
    </row>
    <row r="35" spans="1:36" x14ac:dyDescent="0.25">
      <c r="A35" s="5" t="s">
        <v>274</v>
      </c>
      <c r="B35" s="14" t="s">
        <v>163</v>
      </c>
      <c r="C35" s="14" t="s">
        <v>163</v>
      </c>
      <c r="D35" s="14" t="s">
        <v>163</v>
      </c>
      <c r="E35" s="14" t="s">
        <v>163</v>
      </c>
      <c r="F35" s="14" t="s">
        <v>163</v>
      </c>
      <c r="G35" s="14" t="s">
        <v>163</v>
      </c>
      <c r="H35" s="14" t="s">
        <v>163</v>
      </c>
      <c r="I35" s="14" t="s">
        <v>163</v>
      </c>
      <c r="J35" s="14" t="s">
        <v>163</v>
      </c>
      <c r="K35" s="21">
        <v>-97000</v>
      </c>
      <c r="L35" s="21">
        <v>-267000</v>
      </c>
      <c r="M35" s="21">
        <v>336000</v>
      </c>
      <c r="N35" s="14" t="s">
        <v>163</v>
      </c>
      <c r="O35" s="14" t="s">
        <v>163</v>
      </c>
      <c r="P35" s="14" t="s">
        <v>163</v>
      </c>
      <c r="Q35" s="14" t="s">
        <v>163</v>
      </c>
      <c r="R35" s="14" t="s">
        <v>163</v>
      </c>
      <c r="S35" s="14" t="s">
        <v>163</v>
      </c>
      <c r="T35" s="21">
        <v>-33000</v>
      </c>
      <c r="U35" s="21">
        <v>-271000</v>
      </c>
      <c r="V35" s="21">
        <v>56000</v>
      </c>
      <c r="W35" s="21">
        <v>133000</v>
      </c>
      <c r="X35" s="21">
        <v>17000</v>
      </c>
      <c r="Y35" s="21">
        <v>-187000</v>
      </c>
      <c r="Z35" s="21">
        <v>161000</v>
      </c>
      <c r="AA35" s="21">
        <v>6000</v>
      </c>
      <c r="AB35" s="21">
        <v>10000</v>
      </c>
      <c r="AC35" s="21">
        <v>-52000</v>
      </c>
      <c r="AD35" s="21">
        <v>-8000</v>
      </c>
      <c r="AE35" s="21">
        <v>13000</v>
      </c>
      <c r="AF35" s="21">
        <v>20000</v>
      </c>
      <c r="AG35" s="21">
        <v>161000</v>
      </c>
      <c r="AH35" s="21">
        <v>-15000</v>
      </c>
      <c r="AI35" s="21">
        <v>-27000</v>
      </c>
      <c r="AJ35" s="21">
        <v>-126000</v>
      </c>
    </row>
    <row r="36" spans="1:36" x14ac:dyDescent="0.25">
      <c r="A36" s="5" t="s">
        <v>275</v>
      </c>
      <c r="B36" s="14" t="s">
        <v>163</v>
      </c>
      <c r="C36" s="14" t="s">
        <v>163</v>
      </c>
      <c r="D36" s="14" t="s">
        <v>163</v>
      </c>
      <c r="E36" s="14" t="s">
        <v>163</v>
      </c>
      <c r="F36" s="14" t="s">
        <v>163</v>
      </c>
      <c r="G36" s="14" t="s">
        <v>163</v>
      </c>
      <c r="H36" s="14" t="s">
        <v>163</v>
      </c>
      <c r="I36" s="14" t="s">
        <v>163</v>
      </c>
      <c r="J36" s="14" t="s">
        <v>163</v>
      </c>
      <c r="K36" s="14" t="s">
        <v>163</v>
      </c>
      <c r="L36" s="14" t="s">
        <v>163</v>
      </c>
      <c r="M36" s="21">
        <v>74000</v>
      </c>
      <c r="N36" s="21">
        <v>-73000</v>
      </c>
      <c r="O36" s="21">
        <v>-117000</v>
      </c>
      <c r="P36" s="14" t="s">
        <v>163</v>
      </c>
      <c r="Q36" s="14" t="s">
        <v>163</v>
      </c>
      <c r="R36" s="21">
        <v>-49000</v>
      </c>
      <c r="S36" s="21">
        <v>-303000</v>
      </c>
      <c r="T36" s="21">
        <v>-677000</v>
      </c>
      <c r="U36" s="14" t="s">
        <v>163</v>
      </c>
      <c r="V36" s="14" t="s">
        <v>163</v>
      </c>
      <c r="W36" s="14" t="s">
        <v>163</v>
      </c>
      <c r="X36" s="14" t="s">
        <v>163</v>
      </c>
      <c r="Y36" s="14" t="s">
        <v>163</v>
      </c>
      <c r="Z36" s="14" t="s">
        <v>163</v>
      </c>
      <c r="AA36" s="14" t="s">
        <v>163</v>
      </c>
      <c r="AB36" s="14" t="s">
        <v>163</v>
      </c>
      <c r="AC36" s="14" t="s">
        <v>163</v>
      </c>
      <c r="AD36" s="21">
        <v>-41000</v>
      </c>
      <c r="AE36" s="21">
        <v>-96000</v>
      </c>
      <c r="AF36" s="21">
        <v>-122000</v>
      </c>
      <c r="AG36" s="21">
        <v>-51000</v>
      </c>
      <c r="AH36" s="21">
        <v>-29000</v>
      </c>
      <c r="AI36" s="21">
        <v>-199000</v>
      </c>
      <c r="AJ36" s="21">
        <v>-136000</v>
      </c>
    </row>
    <row r="37" spans="1:36" x14ac:dyDescent="0.25">
      <c r="A37" s="5" t="s">
        <v>276</v>
      </c>
      <c r="B37" s="21">
        <v>419000</v>
      </c>
      <c r="C37" s="21">
        <v>9000</v>
      </c>
      <c r="D37" s="21">
        <v>-89000</v>
      </c>
      <c r="E37" s="21">
        <v>90000</v>
      </c>
      <c r="F37" s="21">
        <v>78000</v>
      </c>
      <c r="G37" s="21">
        <v>587000</v>
      </c>
      <c r="H37" s="21">
        <v>86000</v>
      </c>
      <c r="I37" s="21">
        <v>476000</v>
      </c>
      <c r="J37" s="21">
        <v>380000</v>
      </c>
      <c r="K37" s="21">
        <v>-80000</v>
      </c>
      <c r="L37" s="21">
        <v>-627000</v>
      </c>
      <c r="M37" s="21">
        <v>669000</v>
      </c>
      <c r="N37" s="21">
        <v>279000</v>
      </c>
      <c r="O37" s="21">
        <v>577000</v>
      </c>
      <c r="P37" s="21">
        <v>1400000</v>
      </c>
      <c r="Q37" s="21">
        <v>1218000</v>
      </c>
      <c r="R37" s="21">
        <v>1632000</v>
      </c>
      <c r="S37" s="21">
        <v>1732000</v>
      </c>
      <c r="T37" s="21">
        <v>1658000</v>
      </c>
      <c r="U37" s="21">
        <v>-61000</v>
      </c>
      <c r="V37" s="21">
        <v>-379000</v>
      </c>
      <c r="W37" s="21">
        <v>168000</v>
      </c>
      <c r="X37" s="21">
        <v>1135000</v>
      </c>
      <c r="Y37" s="21">
        <v>405000</v>
      </c>
      <c r="Z37" s="21">
        <v>1553000</v>
      </c>
      <c r="AA37" s="21">
        <v>360000</v>
      </c>
      <c r="AB37" s="21">
        <v>754000</v>
      </c>
      <c r="AC37" s="21">
        <v>826000</v>
      </c>
      <c r="AD37" s="21">
        <v>938000</v>
      </c>
      <c r="AE37" s="21">
        <v>682000</v>
      </c>
      <c r="AF37" s="21">
        <v>138000</v>
      </c>
      <c r="AG37" s="21">
        <v>4090000</v>
      </c>
      <c r="AH37" s="21">
        <v>3505000</v>
      </c>
      <c r="AI37" s="21">
        <v>2100000</v>
      </c>
      <c r="AJ37" s="21">
        <v>919000</v>
      </c>
    </row>
    <row r="38" spans="1:36" x14ac:dyDescent="0.25">
      <c r="A38" s="20" t="s">
        <v>277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 x14ac:dyDescent="0.25">
      <c r="A39" s="5" t="s">
        <v>278</v>
      </c>
      <c r="B39" s="21">
        <v>-391000</v>
      </c>
      <c r="C39" s="21">
        <v>-432000</v>
      </c>
      <c r="D39" s="21">
        <v>-298000</v>
      </c>
      <c r="E39" s="21">
        <v>-198000</v>
      </c>
      <c r="F39" s="21">
        <v>-248000</v>
      </c>
      <c r="G39" s="21">
        <v>-324000</v>
      </c>
      <c r="H39" s="21">
        <v>-337000</v>
      </c>
      <c r="I39" s="21">
        <v>-261000</v>
      </c>
      <c r="J39" s="21">
        <v>-310000</v>
      </c>
      <c r="K39" s="21">
        <v>-287000</v>
      </c>
      <c r="L39" s="21">
        <v>-244000</v>
      </c>
      <c r="M39" s="21">
        <v>-287000</v>
      </c>
      <c r="N39" s="21">
        <v>-258000</v>
      </c>
      <c r="O39" s="21">
        <v>-316000</v>
      </c>
      <c r="P39" s="21">
        <v>-579000</v>
      </c>
      <c r="Q39" s="21">
        <v>-741000</v>
      </c>
      <c r="R39" s="21">
        <v>-612000</v>
      </c>
      <c r="S39" s="21">
        <v>-692000</v>
      </c>
      <c r="T39" s="21">
        <v>-896000</v>
      </c>
      <c r="U39" s="21">
        <v>-619000</v>
      </c>
      <c r="V39" s="21">
        <v>-676000</v>
      </c>
      <c r="W39" s="21">
        <v>-848000</v>
      </c>
      <c r="X39" s="21">
        <v>-723000</v>
      </c>
      <c r="Y39" s="21">
        <v>-468000</v>
      </c>
      <c r="Z39" s="21">
        <v>-480000</v>
      </c>
      <c r="AA39" s="21">
        <v>-500000</v>
      </c>
      <c r="AB39" s="21">
        <v>-306000</v>
      </c>
      <c r="AC39" s="21">
        <v>-505000</v>
      </c>
      <c r="AD39" s="21">
        <v>-1001000</v>
      </c>
      <c r="AE39" s="21">
        <v>-1252000</v>
      </c>
      <c r="AF39" s="21">
        <v>-725000</v>
      </c>
      <c r="AG39" s="21">
        <v>-863000</v>
      </c>
      <c r="AH39" s="21">
        <v>-1769000</v>
      </c>
      <c r="AI39" s="21">
        <v>-2576000</v>
      </c>
      <c r="AJ39" s="21">
        <v>-2287000</v>
      </c>
    </row>
    <row r="40" spans="1:36" x14ac:dyDescent="0.25">
      <c r="A40" s="5" t="s">
        <v>279</v>
      </c>
      <c r="B40" s="21">
        <v>49000</v>
      </c>
      <c r="C40" s="21">
        <v>26000</v>
      </c>
      <c r="D40" s="21">
        <v>39000</v>
      </c>
      <c r="E40" s="21">
        <v>291000</v>
      </c>
      <c r="F40" s="21">
        <v>19000</v>
      </c>
      <c r="G40" s="21">
        <v>67000</v>
      </c>
      <c r="H40" s="21">
        <v>161000</v>
      </c>
      <c r="I40" s="21">
        <v>420000</v>
      </c>
      <c r="J40" s="21">
        <v>21000</v>
      </c>
      <c r="K40" s="21">
        <v>10000</v>
      </c>
      <c r="L40" s="21">
        <v>21000</v>
      </c>
      <c r="M40" s="21">
        <v>44000</v>
      </c>
      <c r="N40" s="21">
        <v>67000</v>
      </c>
      <c r="O40" s="21">
        <v>128000</v>
      </c>
      <c r="P40" s="21">
        <v>102000</v>
      </c>
      <c r="Q40" s="21">
        <v>31000</v>
      </c>
      <c r="R40" s="21">
        <v>26000</v>
      </c>
      <c r="S40" s="21">
        <v>42000</v>
      </c>
      <c r="T40" s="21">
        <v>24000</v>
      </c>
      <c r="U40" s="21">
        <v>366000</v>
      </c>
      <c r="V40" s="21">
        <v>169000</v>
      </c>
      <c r="W40" s="21">
        <v>41000</v>
      </c>
      <c r="X40" s="21">
        <v>155000</v>
      </c>
      <c r="Y40" s="21">
        <v>3000</v>
      </c>
      <c r="Z40" s="21">
        <v>29000</v>
      </c>
      <c r="AA40" s="21">
        <v>4000</v>
      </c>
      <c r="AB40" s="21">
        <v>12000</v>
      </c>
      <c r="AC40" s="21">
        <v>5000</v>
      </c>
      <c r="AD40" s="21">
        <v>10000</v>
      </c>
      <c r="AE40" s="21">
        <v>4000</v>
      </c>
      <c r="AF40" s="21">
        <v>167000</v>
      </c>
      <c r="AG40" s="21">
        <v>26000</v>
      </c>
      <c r="AH40" s="21">
        <v>32000</v>
      </c>
      <c r="AI40" s="21">
        <v>8000</v>
      </c>
      <c r="AJ40" s="21">
        <v>5000</v>
      </c>
    </row>
    <row r="41" spans="1:36" x14ac:dyDescent="0.25">
      <c r="A41" s="5" t="s">
        <v>280</v>
      </c>
      <c r="B41" s="14" t="s">
        <v>163</v>
      </c>
      <c r="C41" s="14" t="s">
        <v>163</v>
      </c>
      <c r="D41" s="14" t="s">
        <v>163</v>
      </c>
      <c r="E41" s="14" t="s">
        <v>163</v>
      </c>
      <c r="F41" s="14" t="s">
        <v>163</v>
      </c>
      <c r="G41" s="14" t="s">
        <v>163</v>
      </c>
      <c r="H41" s="14" t="s">
        <v>163</v>
      </c>
      <c r="I41" s="14" t="s">
        <v>163</v>
      </c>
      <c r="J41" s="14" t="s">
        <v>163</v>
      </c>
      <c r="K41" s="14" t="s">
        <v>163</v>
      </c>
      <c r="L41" s="21">
        <v>-10000</v>
      </c>
      <c r="M41" s="21">
        <v>-14000</v>
      </c>
      <c r="N41" s="21">
        <v>-38000</v>
      </c>
      <c r="O41" s="21">
        <v>-905000</v>
      </c>
      <c r="P41" s="14" t="s">
        <v>163</v>
      </c>
      <c r="Q41" s="14" t="s">
        <v>163</v>
      </c>
      <c r="R41" s="14" t="s">
        <v>163</v>
      </c>
      <c r="S41" s="21">
        <v>-4029000</v>
      </c>
      <c r="T41" s="21">
        <v>-141000</v>
      </c>
      <c r="U41" s="21">
        <v>-24000</v>
      </c>
      <c r="V41" s="14" t="s">
        <v>163</v>
      </c>
      <c r="W41" s="14" t="s">
        <v>163</v>
      </c>
      <c r="X41" s="14" t="s">
        <v>163</v>
      </c>
      <c r="Y41" s="21">
        <v>-12000</v>
      </c>
      <c r="Z41" s="14" t="s">
        <v>163</v>
      </c>
      <c r="AA41" s="21">
        <v>-25000</v>
      </c>
      <c r="AB41" s="14" t="s">
        <v>163</v>
      </c>
      <c r="AC41" s="14" t="s">
        <v>163</v>
      </c>
      <c r="AD41" s="14" t="s">
        <v>163</v>
      </c>
      <c r="AE41" s="14" t="s">
        <v>163</v>
      </c>
      <c r="AF41" s="14" t="s">
        <v>163</v>
      </c>
      <c r="AG41" s="21">
        <v>-625000</v>
      </c>
      <c r="AH41" s="14" t="s">
        <v>163</v>
      </c>
      <c r="AI41" s="14" t="s">
        <v>163</v>
      </c>
      <c r="AJ41" s="14" t="s">
        <v>163</v>
      </c>
    </row>
    <row r="42" spans="1:36" x14ac:dyDescent="0.25">
      <c r="A42" s="5" t="s">
        <v>281</v>
      </c>
      <c r="B42" s="14" t="s">
        <v>163</v>
      </c>
      <c r="C42" s="14" t="s">
        <v>163</v>
      </c>
      <c r="D42" s="14" t="s">
        <v>163</v>
      </c>
      <c r="E42" s="14" t="s">
        <v>163</v>
      </c>
      <c r="F42" s="14" t="s">
        <v>163</v>
      </c>
      <c r="G42" s="14" t="s">
        <v>163</v>
      </c>
      <c r="H42" s="14" t="s">
        <v>163</v>
      </c>
      <c r="I42" s="14" t="s">
        <v>163</v>
      </c>
      <c r="J42" s="14" t="s">
        <v>163</v>
      </c>
      <c r="K42" s="14" t="s">
        <v>163</v>
      </c>
      <c r="L42" s="14" t="s">
        <v>163</v>
      </c>
      <c r="M42" s="14" t="s">
        <v>163</v>
      </c>
      <c r="N42" s="14" t="s">
        <v>163</v>
      </c>
      <c r="O42" s="14" t="s">
        <v>163</v>
      </c>
      <c r="P42" s="14" t="s">
        <v>163</v>
      </c>
      <c r="Q42" s="14" t="s">
        <v>163</v>
      </c>
      <c r="R42" s="14" t="s">
        <v>163</v>
      </c>
      <c r="S42" s="14" t="s">
        <v>163</v>
      </c>
      <c r="T42" s="14" t="s">
        <v>163</v>
      </c>
      <c r="U42" s="14" t="s">
        <v>163</v>
      </c>
      <c r="V42" s="14" t="s">
        <v>163</v>
      </c>
      <c r="W42" s="14" t="s">
        <v>163</v>
      </c>
      <c r="X42" s="14" t="s">
        <v>163</v>
      </c>
      <c r="Y42" s="14" t="s">
        <v>163</v>
      </c>
      <c r="Z42" s="14" t="s">
        <v>163</v>
      </c>
      <c r="AA42" s="14" t="s">
        <v>163</v>
      </c>
      <c r="AB42" s="14" t="s">
        <v>163</v>
      </c>
      <c r="AC42" s="14" t="s">
        <v>163</v>
      </c>
      <c r="AD42" s="14" t="s">
        <v>163</v>
      </c>
      <c r="AE42" s="14" t="s">
        <v>163</v>
      </c>
      <c r="AF42" s="14" t="s">
        <v>163</v>
      </c>
      <c r="AG42" s="21">
        <v>627000</v>
      </c>
      <c r="AH42" s="14" t="s">
        <v>163</v>
      </c>
      <c r="AI42" s="14" t="s">
        <v>163</v>
      </c>
      <c r="AJ42" s="14" t="s">
        <v>163</v>
      </c>
    </row>
    <row r="43" spans="1:36" x14ac:dyDescent="0.25">
      <c r="A43" s="5" t="s">
        <v>282</v>
      </c>
      <c r="B43" s="14" t="s">
        <v>163</v>
      </c>
      <c r="C43" s="14" t="s">
        <v>163</v>
      </c>
      <c r="D43" s="14" t="s">
        <v>163</v>
      </c>
      <c r="E43" s="14" t="s">
        <v>163</v>
      </c>
      <c r="F43" s="14" t="s">
        <v>163</v>
      </c>
      <c r="G43" s="21">
        <v>4000</v>
      </c>
      <c r="H43" s="21">
        <v>-1000</v>
      </c>
      <c r="I43" s="21">
        <v>-26000</v>
      </c>
      <c r="J43" s="21">
        <v>-73000</v>
      </c>
      <c r="K43" s="21">
        <v>-15000</v>
      </c>
      <c r="L43" s="21">
        <v>-35000</v>
      </c>
      <c r="M43" s="21">
        <v>-3000</v>
      </c>
      <c r="N43" s="21">
        <v>-13000</v>
      </c>
      <c r="O43" s="21">
        <v>-5000</v>
      </c>
      <c r="P43" s="21">
        <v>-1000</v>
      </c>
      <c r="Q43" s="21">
        <v>4000</v>
      </c>
      <c r="R43" s="21">
        <v>-4000</v>
      </c>
      <c r="S43" s="21">
        <v>-9000</v>
      </c>
      <c r="T43" s="21">
        <v>-21000</v>
      </c>
      <c r="U43" s="21">
        <v>-38000</v>
      </c>
      <c r="V43" s="21">
        <v>-34000</v>
      </c>
      <c r="W43" s="21">
        <v>-41000</v>
      </c>
      <c r="X43" s="21">
        <v>-13000</v>
      </c>
      <c r="Y43" s="21">
        <v>-7000</v>
      </c>
      <c r="Z43" s="21">
        <v>-5000</v>
      </c>
      <c r="AA43" s="21">
        <v>-2000</v>
      </c>
      <c r="AB43" s="21">
        <v>-21000</v>
      </c>
      <c r="AC43" s="21">
        <v>114000</v>
      </c>
      <c r="AD43" s="21">
        <v>28000</v>
      </c>
      <c r="AE43" s="21">
        <v>-710000</v>
      </c>
      <c r="AF43" s="21">
        <v>-1000</v>
      </c>
      <c r="AG43" s="14" t="s">
        <v>163</v>
      </c>
      <c r="AH43" s="21">
        <v>12000</v>
      </c>
      <c r="AI43" s="14" t="s">
        <v>163</v>
      </c>
      <c r="AJ43" s="14" t="s">
        <v>163</v>
      </c>
    </row>
    <row r="44" spans="1:36" x14ac:dyDescent="0.25">
      <c r="A44" s="5" t="s">
        <v>283</v>
      </c>
      <c r="B44" s="21">
        <v>-83000</v>
      </c>
      <c r="C44" s="21">
        <v>-45000</v>
      </c>
      <c r="D44" s="14" t="s">
        <v>163</v>
      </c>
      <c r="E44" s="14" t="s">
        <v>163</v>
      </c>
      <c r="F44" s="14" t="s">
        <v>163</v>
      </c>
      <c r="G44" s="14" t="s">
        <v>163</v>
      </c>
      <c r="H44" s="14" t="s">
        <v>163</v>
      </c>
      <c r="I44" s="14" t="s">
        <v>163</v>
      </c>
      <c r="J44" s="14" t="s">
        <v>163</v>
      </c>
      <c r="K44" s="14" t="s">
        <v>163</v>
      </c>
      <c r="L44" s="14" t="s">
        <v>163</v>
      </c>
      <c r="M44" s="21">
        <v>-3000</v>
      </c>
      <c r="N44" s="14" t="s">
        <v>163</v>
      </c>
      <c r="O44" s="14" t="s">
        <v>163</v>
      </c>
      <c r="P44" s="14" t="s">
        <v>163</v>
      </c>
      <c r="Q44" s="14" t="s">
        <v>163</v>
      </c>
      <c r="R44" s="14" t="s">
        <v>163</v>
      </c>
      <c r="S44" s="14" t="s">
        <v>163</v>
      </c>
      <c r="T44" s="14" t="s">
        <v>163</v>
      </c>
      <c r="U44" s="14" t="s">
        <v>163</v>
      </c>
      <c r="V44" s="14" t="s">
        <v>163</v>
      </c>
      <c r="W44" s="14" t="s">
        <v>163</v>
      </c>
      <c r="X44" s="14" t="s">
        <v>163</v>
      </c>
      <c r="Y44" s="14" t="s">
        <v>163</v>
      </c>
      <c r="Z44" s="14" t="s">
        <v>163</v>
      </c>
      <c r="AA44" s="14" t="s">
        <v>163</v>
      </c>
      <c r="AB44" s="14" t="s">
        <v>163</v>
      </c>
      <c r="AC44" s="14" t="s">
        <v>163</v>
      </c>
      <c r="AD44" s="14" t="s">
        <v>163</v>
      </c>
      <c r="AE44" s="14" t="s">
        <v>163</v>
      </c>
      <c r="AF44" s="14" t="s">
        <v>163</v>
      </c>
      <c r="AG44" s="14" t="s">
        <v>163</v>
      </c>
      <c r="AH44" s="14" t="s">
        <v>163</v>
      </c>
      <c r="AI44" s="14" t="s">
        <v>163</v>
      </c>
      <c r="AJ44" s="14" t="s">
        <v>163</v>
      </c>
    </row>
    <row r="45" spans="1:36" x14ac:dyDescent="0.25">
      <c r="A45" s="5" t="s">
        <v>284</v>
      </c>
      <c r="B45" s="21">
        <v>-2000</v>
      </c>
      <c r="C45" s="21">
        <v>-5000</v>
      </c>
      <c r="D45" s="21">
        <v>-68000</v>
      </c>
      <c r="E45" s="21">
        <v>-13000</v>
      </c>
      <c r="F45" s="21">
        <v>-22000</v>
      </c>
      <c r="G45" s="21">
        <v>1000</v>
      </c>
      <c r="H45" s="21">
        <v>38000</v>
      </c>
      <c r="I45" s="21">
        <v>1000</v>
      </c>
      <c r="J45" s="21">
        <v>13000</v>
      </c>
      <c r="K45" s="21">
        <v>-2000</v>
      </c>
      <c r="L45" s="21">
        <v>-2000</v>
      </c>
      <c r="M45" s="21">
        <v>24000</v>
      </c>
      <c r="N45" s="21">
        <v>-67000</v>
      </c>
      <c r="O45" s="21">
        <v>-32000</v>
      </c>
      <c r="P45" s="21">
        <v>-6000</v>
      </c>
      <c r="Q45" s="21">
        <v>-2000</v>
      </c>
      <c r="R45" s="14" t="s">
        <v>163</v>
      </c>
      <c r="S45" s="21">
        <v>13000</v>
      </c>
      <c r="T45" s="21">
        <v>2000</v>
      </c>
      <c r="U45" s="21">
        <v>-59000</v>
      </c>
      <c r="V45" s="21">
        <v>-42000</v>
      </c>
      <c r="W45" s="21">
        <v>35000</v>
      </c>
      <c r="X45" s="21">
        <v>-21000</v>
      </c>
      <c r="Y45" s="21">
        <v>100000</v>
      </c>
      <c r="Z45" s="21">
        <v>29000</v>
      </c>
      <c r="AA45" s="21">
        <v>13000</v>
      </c>
      <c r="AB45" s="14" t="s">
        <v>163</v>
      </c>
      <c r="AC45" s="14" t="s">
        <v>163</v>
      </c>
      <c r="AD45" s="14" t="s">
        <v>163</v>
      </c>
      <c r="AE45" s="14" t="s">
        <v>163</v>
      </c>
      <c r="AF45" s="21">
        <v>-4000</v>
      </c>
      <c r="AG45" s="21">
        <v>-5000</v>
      </c>
      <c r="AH45" s="21">
        <v>46000</v>
      </c>
      <c r="AI45" s="14" t="s">
        <v>163</v>
      </c>
      <c r="AJ45" s="21">
        <v>6000</v>
      </c>
    </row>
    <row r="46" spans="1:36" x14ac:dyDescent="0.25">
      <c r="A46" s="5" t="s">
        <v>285</v>
      </c>
      <c r="B46" s="21">
        <v>-427000</v>
      </c>
      <c r="C46" s="21">
        <v>-456000</v>
      </c>
      <c r="D46" s="21">
        <v>-327000</v>
      </c>
      <c r="E46" s="21">
        <v>80000</v>
      </c>
      <c r="F46" s="21">
        <v>-251000</v>
      </c>
      <c r="G46" s="21">
        <v>-252000</v>
      </c>
      <c r="H46" s="21">
        <v>-139000</v>
      </c>
      <c r="I46" s="21">
        <v>134000</v>
      </c>
      <c r="J46" s="21">
        <v>-349000</v>
      </c>
      <c r="K46" s="21">
        <v>-294000</v>
      </c>
      <c r="L46" s="21">
        <v>-270000</v>
      </c>
      <c r="M46" s="21">
        <v>-239000</v>
      </c>
      <c r="N46" s="21">
        <v>-309000</v>
      </c>
      <c r="O46" s="21">
        <v>-1130000</v>
      </c>
      <c r="P46" s="21">
        <v>-484000</v>
      </c>
      <c r="Q46" s="21">
        <v>-708000</v>
      </c>
      <c r="R46" s="21">
        <v>-590000</v>
      </c>
      <c r="S46" s="21">
        <v>-4675000</v>
      </c>
      <c r="T46" s="21">
        <v>-1032000</v>
      </c>
      <c r="U46" s="21">
        <v>-374000</v>
      </c>
      <c r="V46" s="21">
        <v>-583000</v>
      </c>
      <c r="W46" s="21">
        <v>-813000</v>
      </c>
      <c r="X46" s="21">
        <v>-602000</v>
      </c>
      <c r="Y46" s="21">
        <v>-384000</v>
      </c>
      <c r="Z46" s="21">
        <v>-427000</v>
      </c>
      <c r="AA46" s="21">
        <v>-510000</v>
      </c>
      <c r="AB46" s="21">
        <v>-315000</v>
      </c>
      <c r="AC46" s="21">
        <v>-386000</v>
      </c>
      <c r="AD46" s="21">
        <v>-963000</v>
      </c>
      <c r="AE46" s="21">
        <v>-1958000</v>
      </c>
      <c r="AF46" s="21">
        <v>-563000</v>
      </c>
      <c r="AG46" s="21">
        <v>-840000</v>
      </c>
      <c r="AH46" s="21">
        <v>-1679000</v>
      </c>
      <c r="AI46" s="21">
        <v>-2568000</v>
      </c>
      <c r="AJ46" s="21">
        <v>-2276000</v>
      </c>
    </row>
    <row r="47" spans="1:36" x14ac:dyDescent="0.25">
      <c r="A47" s="20" t="s">
        <v>286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6" x14ac:dyDescent="0.25">
      <c r="A48" s="5" t="s">
        <v>287</v>
      </c>
      <c r="B48" s="14" t="s">
        <v>163</v>
      </c>
      <c r="C48" s="14" t="s">
        <v>163</v>
      </c>
      <c r="D48" s="14" t="s">
        <v>163</v>
      </c>
      <c r="E48" s="14" t="s">
        <v>163</v>
      </c>
      <c r="F48" s="14" t="s">
        <v>163</v>
      </c>
      <c r="G48" s="14" t="s">
        <v>163</v>
      </c>
      <c r="H48" s="14" t="s">
        <v>163</v>
      </c>
      <c r="I48" s="14" t="s">
        <v>163</v>
      </c>
      <c r="J48" s="14" t="s">
        <v>163</v>
      </c>
      <c r="K48" s="14" t="s">
        <v>163</v>
      </c>
      <c r="L48" s="14" t="s">
        <v>163</v>
      </c>
      <c r="M48" s="14" t="s">
        <v>163</v>
      </c>
      <c r="N48" s="21">
        <v>40000</v>
      </c>
      <c r="O48" s="21">
        <v>15000</v>
      </c>
      <c r="P48" s="21">
        <v>208000</v>
      </c>
      <c r="Q48" s="21">
        <v>37000</v>
      </c>
      <c r="R48" s="14" t="s">
        <v>163</v>
      </c>
      <c r="S48" s="14" t="s">
        <v>163</v>
      </c>
      <c r="T48" s="14" t="s">
        <v>163</v>
      </c>
      <c r="U48" s="14" t="s">
        <v>163</v>
      </c>
      <c r="V48" s="14" t="s">
        <v>163</v>
      </c>
      <c r="W48" s="21">
        <v>380000</v>
      </c>
      <c r="X48" s="14" t="s">
        <v>163</v>
      </c>
      <c r="Y48" s="14" t="s">
        <v>163</v>
      </c>
      <c r="Z48" s="14" t="s">
        <v>163</v>
      </c>
      <c r="AA48" s="14" t="s">
        <v>163</v>
      </c>
      <c r="AB48" s="14" t="s">
        <v>163</v>
      </c>
      <c r="AC48" s="14" t="s">
        <v>163</v>
      </c>
      <c r="AD48" s="14" t="s">
        <v>163</v>
      </c>
      <c r="AE48" s="14" t="s">
        <v>163</v>
      </c>
      <c r="AF48" s="21">
        <v>240000</v>
      </c>
      <c r="AG48" s="14" t="s">
        <v>163</v>
      </c>
      <c r="AH48" s="14" t="s">
        <v>163</v>
      </c>
      <c r="AI48" s="14" t="s">
        <v>163</v>
      </c>
      <c r="AJ48" s="14" t="s">
        <v>163</v>
      </c>
    </row>
    <row r="49" spans="1:36" x14ac:dyDescent="0.25">
      <c r="A49" s="5" t="s">
        <v>288</v>
      </c>
      <c r="B49" s="21">
        <v>29000</v>
      </c>
      <c r="C49" s="21">
        <v>575000</v>
      </c>
      <c r="D49" s="21">
        <v>235000</v>
      </c>
      <c r="E49" s="21">
        <v>12000</v>
      </c>
      <c r="F49" s="21">
        <v>4000</v>
      </c>
      <c r="G49" s="14" t="s">
        <v>163</v>
      </c>
      <c r="H49" s="21">
        <v>113000</v>
      </c>
      <c r="I49" s="14" t="s">
        <v>163</v>
      </c>
      <c r="J49" s="21">
        <v>13000</v>
      </c>
      <c r="K49" s="21">
        <v>497000</v>
      </c>
      <c r="L49" s="21">
        <v>1208000</v>
      </c>
      <c r="M49" s="14" t="s">
        <v>163</v>
      </c>
      <c r="N49" s="14" t="s">
        <v>163</v>
      </c>
      <c r="O49" s="21">
        <v>427000</v>
      </c>
      <c r="P49" s="14" t="s">
        <v>163</v>
      </c>
      <c r="Q49" s="21">
        <v>273000</v>
      </c>
      <c r="R49" s="14" t="s">
        <v>163</v>
      </c>
      <c r="S49" s="21">
        <v>2976000</v>
      </c>
      <c r="T49" s="21">
        <v>359000</v>
      </c>
      <c r="U49" s="21">
        <v>966000</v>
      </c>
      <c r="V49" s="21">
        <v>776000</v>
      </c>
      <c r="W49" s="21">
        <v>4908000</v>
      </c>
      <c r="X49" s="21">
        <v>1017000</v>
      </c>
      <c r="Y49" s="21">
        <v>590000</v>
      </c>
      <c r="Z49" s="14" t="s">
        <v>163</v>
      </c>
      <c r="AA49" s="14" t="s">
        <v>163</v>
      </c>
      <c r="AB49" s="21">
        <v>980000</v>
      </c>
      <c r="AC49" s="21">
        <v>750000</v>
      </c>
      <c r="AD49" s="21">
        <v>868000</v>
      </c>
      <c r="AE49" s="21">
        <v>1562000</v>
      </c>
      <c r="AF49" s="21">
        <v>2550000</v>
      </c>
      <c r="AG49" s="21">
        <v>914000</v>
      </c>
      <c r="AH49" s="21">
        <v>343000</v>
      </c>
      <c r="AI49" s="21">
        <v>241000</v>
      </c>
      <c r="AJ49" s="14" t="s">
        <v>163</v>
      </c>
    </row>
    <row r="50" spans="1:36" x14ac:dyDescent="0.25">
      <c r="A50" s="5" t="s">
        <v>289</v>
      </c>
      <c r="B50" s="21">
        <v>29000</v>
      </c>
      <c r="C50" s="21">
        <v>575000</v>
      </c>
      <c r="D50" s="21">
        <v>235000</v>
      </c>
      <c r="E50" s="21">
        <v>12000</v>
      </c>
      <c r="F50" s="21">
        <v>4000</v>
      </c>
      <c r="G50" s="14" t="s">
        <v>163</v>
      </c>
      <c r="H50" s="21">
        <v>113000</v>
      </c>
      <c r="I50" s="14" t="s">
        <v>163</v>
      </c>
      <c r="J50" s="21">
        <v>13000</v>
      </c>
      <c r="K50" s="21">
        <v>497000</v>
      </c>
      <c r="L50" s="21">
        <v>1208000</v>
      </c>
      <c r="M50" s="14" t="s">
        <v>163</v>
      </c>
      <c r="N50" s="21">
        <v>40000</v>
      </c>
      <c r="O50" s="21">
        <v>442000</v>
      </c>
      <c r="P50" s="21">
        <v>208000</v>
      </c>
      <c r="Q50" s="21">
        <v>310000</v>
      </c>
      <c r="R50" s="14" t="s">
        <v>163</v>
      </c>
      <c r="S50" s="21">
        <v>2976000</v>
      </c>
      <c r="T50" s="21">
        <v>359000</v>
      </c>
      <c r="U50" s="21">
        <v>966000</v>
      </c>
      <c r="V50" s="21">
        <v>776000</v>
      </c>
      <c r="W50" s="21">
        <v>5288000</v>
      </c>
      <c r="X50" s="21">
        <v>1017000</v>
      </c>
      <c r="Y50" s="21">
        <v>590000</v>
      </c>
      <c r="Z50" s="14" t="s">
        <v>163</v>
      </c>
      <c r="AA50" s="14" t="s">
        <v>163</v>
      </c>
      <c r="AB50" s="21">
        <v>980000</v>
      </c>
      <c r="AC50" s="21">
        <v>750000</v>
      </c>
      <c r="AD50" s="21">
        <v>868000</v>
      </c>
      <c r="AE50" s="21">
        <v>1562000</v>
      </c>
      <c r="AF50" s="21">
        <v>2790000</v>
      </c>
      <c r="AG50" s="21">
        <v>914000</v>
      </c>
      <c r="AH50" s="21">
        <v>343000</v>
      </c>
      <c r="AI50" s="21">
        <v>241000</v>
      </c>
      <c r="AJ50" s="14" t="s">
        <v>163</v>
      </c>
    </row>
    <row r="51" spans="1:36" x14ac:dyDescent="0.25">
      <c r="A51" s="5" t="s">
        <v>290</v>
      </c>
      <c r="B51" s="14" t="s">
        <v>163</v>
      </c>
      <c r="C51" s="14" t="s">
        <v>163</v>
      </c>
      <c r="D51" s="14" t="s">
        <v>163</v>
      </c>
      <c r="E51" s="14" t="s">
        <v>163</v>
      </c>
      <c r="F51" s="14" t="s">
        <v>163</v>
      </c>
      <c r="G51" s="14" t="s">
        <v>163</v>
      </c>
      <c r="H51" s="14" t="s">
        <v>163</v>
      </c>
      <c r="I51" s="14" t="s">
        <v>163</v>
      </c>
      <c r="J51" s="14" t="s">
        <v>163</v>
      </c>
      <c r="K51" s="14" t="s">
        <v>163</v>
      </c>
      <c r="L51" s="14" t="s">
        <v>163</v>
      </c>
      <c r="M51" s="14" t="s">
        <v>163</v>
      </c>
      <c r="N51" s="21">
        <v>-40000</v>
      </c>
      <c r="O51" s="21">
        <v>-15000</v>
      </c>
      <c r="P51" s="21">
        <v>-135000</v>
      </c>
      <c r="Q51" s="14" t="s">
        <v>163</v>
      </c>
      <c r="R51" s="14" t="s">
        <v>163</v>
      </c>
      <c r="S51" s="14" t="s">
        <v>163</v>
      </c>
      <c r="T51" s="14" t="s">
        <v>163</v>
      </c>
      <c r="U51" s="14" t="s">
        <v>163</v>
      </c>
      <c r="V51" s="14" t="s">
        <v>163</v>
      </c>
      <c r="W51" s="14" t="s">
        <v>163</v>
      </c>
      <c r="X51" s="21">
        <v>-380000</v>
      </c>
      <c r="Y51" s="14" t="s">
        <v>163</v>
      </c>
      <c r="Z51" s="14" t="s">
        <v>163</v>
      </c>
      <c r="AA51" s="14" t="s">
        <v>163</v>
      </c>
      <c r="AB51" s="14" t="s">
        <v>163</v>
      </c>
      <c r="AC51" s="14" t="s">
        <v>163</v>
      </c>
      <c r="AD51" s="14" t="s">
        <v>163</v>
      </c>
      <c r="AE51" s="14" t="s">
        <v>163</v>
      </c>
      <c r="AF51" s="21">
        <v>-70000</v>
      </c>
      <c r="AG51" s="21">
        <v>-180000</v>
      </c>
      <c r="AH51" s="14" t="s">
        <v>163</v>
      </c>
      <c r="AI51" s="14" t="s">
        <v>163</v>
      </c>
      <c r="AJ51" s="14" t="s">
        <v>163</v>
      </c>
    </row>
    <row r="52" spans="1:36" x14ac:dyDescent="0.25">
      <c r="A52" s="5" t="s">
        <v>291</v>
      </c>
      <c r="B52" s="21">
        <v>-122000</v>
      </c>
      <c r="C52" s="21">
        <v>-73000</v>
      </c>
      <c r="D52" s="21">
        <v>-32000</v>
      </c>
      <c r="E52" s="21">
        <v>-742000</v>
      </c>
      <c r="F52" s="21">
        <v>-86000</v>
      </c>
      <c r="G52" s="21">
        <v>-403000</v>
      </c>
      <c r="H52" s="21">
        <v>-36000</v>
      </c>
      <c r="I52" s="21">
        <v>-567000</v>
      </c>
      <c r="J52" s="21">
        <v>-4000</v>
      </c>
      <c r="K52" s="21">
        <v>-11000</v>
      </c>
      <c r="L52" s="21">
        <v>-6000</v>
      </c>
      <c r="M52" s="21">
        <v>-444000</v>
      </c>
      <c r="N52" s="21">
        <v>-32000</v>
      </c>
      <c r="O52" s="21">
        <v>-30000</v>
      </c>
      <c r="P52" s="21">
        <v>-571000</v>
      </c>
      <c r="Q52" s="21">
        <v>-52000</v>
      </c>
      <c r="R52" s="21">
        <v>-607000</v>
      </c>
      <c r="S52" s="21">
        <v>-873000</v>
      </c>
      <c r="T52" s="21">
        <v>-424000</v>
      </c>
      <c r="U52" s="21">
        <v>-800000</v>
      </c>
      <c r="V52" s="21">
        <v>-417000</v>
      </c>
      <c r="W52" s="21">
        <v>-4786000</v>
      </c>
      <c r="X52" s="21">
        <v>-972000</v>
      </c>
      <c r="Y52" s="21">
        <v>-542000</v>
      </c>
      <c r="Z52" s="21">
        <v>-325000</v>
      </c>
      <c r="AA52" s="21">
        <v>-379000</v>
      </c>
      <c r="AB52" s="21">
        <v>-1093000</v>
      </c>
      <c r="AC52" s="21">
        <v>-1127000</v>
      </c>
      <c r="AD52" s="21">
        <v>-1299000</v>
      </c>
      <c r="AE52" s="21">
        <v>-255000</v>
      </c>
      <c r="AF52" s="21">
        <v>-1634000</v>
      </c>
      <c r="AG52" s="21">
        <v>-4094000</v>
      </c>
      <c r="AH52" s="21">
        <v>-382000</v>
      </c>
      <c r="AI52" s="21">
        <v>-89000</v>
      </c>
      <c r="AJ52" s="21">
        <v>-128000</v>
      </c>
    </row>
    <row r="53" spans="1:36" x14ac:dyDescent="0.25">
      <c r="A53" s="5" t="s">
        <v>292</v>
      </c>
      <c r="B53" s="21">
        <v>-122000</v>
      </c>
      <c r="C53" s="21">
        <v>-73000</v>
      </c>
      <c r="D53" s="21">
        <v>-32000</v>
      </c>
      <c r="E53" s="21">
        <v>-742000</v>
      </c>
      <c r="F53" s="21">
        <v>-86000</v>
      </c>
      <c r="G53" s="21">
        <v>-403000</v>
      </c>
      <c r="H53" s="21">
        <v>-36000</v>
      </c>
      <c r="I53" s="21">
        <v>-567000</v>
      </c>
      <c r="J53" s="21">
        <v>-4000</v>
      </c>
      <c r="K53" s="21">
        <v>-11000</v>
      </c>
      <c r="L53" s="21">
        <v>-6000</v>
      </c>
      <c r="M53" s="21">
        <v>-444000</v>
      </c>
      <c r="N53" s="21">
        <v>-72000</v>
      </c>
      <c r="O53" s="21">
        <v>-45000</v>
      </c>
      <c r="P53" s="21">
        <v>-706000</v>
      </c>
      <c r="Q53" s="21">
        <v>-52000</v>
      </c>
      <c r="R53" s="21">
        <v>-607000</v>
      </c>
      <c r="S53" s="21">
        <v>-873000</v>
      </c>
      <c r="T53" s="21">
        <v>-424000</v>
      </c>
      <c r="U53" s="21">
        <v>-800000</v>
      </c>
      <c r="V53" s="21">
        <v>-417000</v>
      </c>
      <c r="W53" s="21">
        <v>-4786000</v>
      </c>
      <c r="X53" s="21">
        <v>-1352000</v>
      </c>
      <c r="Y53" s="21">
        <v>-542000</v>
      </c>
      <c r="Z53" s="21">
        <v>-325000</v>
      </c>
      <c r="AA53" s="21">
        <v>-379000</v>
      </c>
      <c r="AB53" s="21">
        <v>-1093000</v>
      </c>
      <c r="AC53" s="21">
        <v>-1127000</v>
      </c>
      <c r="AD53" s="21">
        <v>-1299000</v>
      </c>
      <c r="AE53" s="21">
        <v>-255000</v>
      </c>
      <c r="AF53" s="21">
        <v>-1704000</v>
      </c>
      <c r="AG53" s="21">
        <v>-4274000</v>
      </c>
      <c r="AH53" s="21">
        <v>-382000</v>
      </c>
      <c r="AI53" s="21">
        <v>-89000</v>
      </c>
      <c r="AJ53" s="21">
        <v>-128000</v>
      </c>
    </row>
    <row r="54" spans="1:36" x14ac:dyDescent="0.25">
      <c r="A54" s="5" t="s">
        <v>293</v>
      </c>
      <c r="B54" s="21">
        <v>9000</v>
      </c>
      <c r="C54" s="21">
        <v>16000</v>
      </c>
      <c r="D54" s="21">
        <v>212000</v>
      </c>
      <c r="E54" s="21">
        <v>366000</v>
      </c>
      <c r="F54" s="21">
        <v>221000</v>
      </c>
      <c r="G54" s="21">
        <v>218000</v>
      </c>
      <c r="H54" s="21">
        <v>51000</v>
      </c>
      <c r="I54" s="21">
        <v>48000</v>
      </c>
      <c r="J54" s="21">
        <v>55000</v>
      </c>
      <c r="K54" s="14" t="s">
        <v>163</v>
      </c>
      <c r="L54" s="14" t="s">
        <v>163</v>
      </c>
      <c r="M54" s="14" t="s">
        <v>163</v>
      </c>
      <c r="N54" s="21">
        <v>227000</v>
      </c>
      <c r="O54" s="21">
        <v>23000</v>
      </c>
      <c r="P54" s="21">
        <v>361000</v>
      </c>
      <c r="Q54" s="21">
        <v>28000</v>
      </c>
      <c r="R54" s="21">
        <v>33000</v>
      </c>
      <c r="S54" s="21">
        <v>18000</v>
      </c>
      <c r="T54" s="21">
        <v>5000</v>
      </c>
      <c r="U54" s="21">
        <v>667000</v>
      </c>
      <c r="V54" s="21">
        <v>5000</v>
      </c>
      <c r="W54" s="21">
        <v>3000</v>
      </c>
      <c r="X54" s="14" t="s">
        <v>163</v>
      </c>
      <c r="Y54" s="14" t="s">
        <v>163</v>
      </c>
      <c r="Z54" s="21">
        <v>13000</v>
      </c>
      <c r="AA54" s="21">
        <v>1000</v>
      </c>
      <c r="AB54" s="21">
        <v>517000</v>
      </c>
      <c r="AC54" s="21">
        <v>20000</v>
      </c>
      <c r="AD54" s="21">
        <v>35000</v>
      </c>
      <c r="AE54" s="14" t="s">
        <v>163</v>
      </c>
      <c r="AF54" s="21">
        <v>410000</v>
      </c>
      <c r="AG54" s="21">
        <v>790000</v>
      </c>
      <c r="AH54" s="14" t="s">
        <v>163</v>
      </c>
      <c r="AI54" s="14" t="s">
        <v>163</v>
      </c>
      <c r="AJ54" s="14" t="s">
        <v>163</v>
      </c>
    </row>
    <row r="55" spans="1:36" x14ac:dyDescent="0.25">
      <c r="A55" s="5" t="s">
        <v>294</v>
      </c>
      <c r="B55" s="21">
        <v>-27000</v>
      </c>
      <c r="C55" s="21">
        <v>-13000</v>
      </c>
      <c r="D55" s="14" t="s">
        <v>163</v>
      </c>
      <c r="E55" s="14" t="s">
        <v>163</v>
      </c>
      <c r="F55" s="14" t="s">
        <v>163</v>
      </c>
      <c r="G55" s="14" t="s">
        <v>163</v>
      </c>
      <c r="H55" s="14" t="s">
        <v>163</v>
      </c>
      <c r="I55" s="14" t="s">
        <v>163</v>
      </c>
      <c r="J55" s="14" t="s">
        <v>163</v>
      </c>
      <c r="K55" s="14" t="s">
        <v>163</v>
      </c>
      <c r="L55" s="14" t="s">
        <v>163</v>
      </c>
      <c r="M55" s="14" t="s">
        <v>163</v>
      </c>
      <c r="N55" s="14" t="s">
        <v>163</v>
      </c>
      <c r="O55" s="14" t="s">
        <v>163</v>
      </c>
      <c r="P55" s="14" t="s">
        <v>163</v>
      </c>
      <c r="Q55" s="21">
        <v>-254000</v>
      </c>
      <c r="R55" s="21">
        <v>-442000</v>
      </c>
      <c r="S55" s="21">
        <v>-117000</v>
      </c>
      <c r="T55" s="21">
        <v>-227000</v>
      </c>
      <c r="U55" s="14" t="s">
        <v>163</v>
      </c>
      <c r="V55" s="14" t="s">
        <v>163</v>
      </c>
      <c r="W55" s="14" t="s">
        <v>163</v>
      </c>
      <c r="X55" s="14" t="s">
        <v>163</v>
      </c>
      <c r="Y55" s="14" t="s">
        <v>163</v>
      </c>
      <c r="Z55" s="14" t="s">
        <v>163</v>
      </c>
      <c r="AA55" s="21">
        <v>-1000</v>
      </c>
      <c r="AB55" s="21">
        <v>-4000</v>
      </c>
      <c r="AC55" s="21">
        <v>-10000</v>
      </c>
      <c r="AD55" s="21">
        <v>-83000</v>
      </c>
      <c r="AE55" s="21">
        <v>-88000</v>
      </c>
      <c r="AF55" s="14" t="s">
        <v>163</v>
      </c>
      <c r="AG55" s="21">
        <v>-150000</v>
      </c>
      <c r="AH55" s="21">
        <v>-849000</v>
      </c>
      <c r="AI55" s="21">
        <v>-175000</v>
      </c>
      <c r="AJ55" s="14" t="s">
        <v>163</v>
      </c>
    </row>
    <row r="56" spans="1:36" x14ac:dyDescent="0.25">
      <c r="A56" s="5" t="s">
        <v>295</v>
      </c>
      <c r="B56" s="14" t="s">
        <v>163</v>
      </c>
      <c r="C56" s="14" t="s">
        <v>163</v>
      </c>
      <c r="D56" s="14" t="s">
        <v>163</v>
      </c>
      <c r="E56" s="21">
        <v>336000</v>
      </c>
      <c r="F56" s="14" t="s">
        <v>163</v>
      </c>
      <c r="G56" s="14" t="s">
        <v>163</v>
      </c>
      <c r="H56" s="14" t="s">
        <v>163</v>
      </c>
      <c r="I56" s="14" t="s">
        <v>163</v>
      </c>
      <c r="J56" s="14" t="s">
        <v>163</v>
      </c>
      <c r="K56" s="14" t="s">
        <v>163</v>
      </c>
      <c r="L56" s="14" t="s">
        <v>163</v>
      </c>
      <c r="M56" s="14" t="s">
        <v>163</v>
      </c>
      <c r="N56" s="14" t="s">
        <v>163</v>
      </c>
      <c r="O56" s="21">
        <v>242000</v>
      </c>
      <c r="P56" s="14" t="s">
        <v>163</v>
      </c>
      <c r="Q56" s="14" t="s">
        <v>163</v>
      </c>
      <c r="R56" s="14" t="s">
        <v>163</v>
      </c>
      <c r="S56" s="14" t="s">
        <v>163</v>
      </c>
      <c r="T56" s="14" t="s">
        <v>163</v>
      </c>
      <c r="U56" s="14" t="s">
        <v>163</v>
      </c>
      <c r="V56" s="14" t="s">
        <v>163</v>
      </c>
      <c r="W56" s="14" t="s">
        <v>163</v>
      </c>
      <c r="X56" s="14" t="s">
        <v>163</v>
      </c>
      <c r="Y56" s="14" t="s">
        <v>163</v>
      </c>
      <c r="Z56" s="14" t="s">
        <v>163</v>
      </c>
      <c r="AA56" s="14" t="s">
        <v>163</v>
      </c>
      <c r="AB56" s="14" t="s">
        <v>163</v>
      </c>
      <c r="AC56" s="14" t="s">
        <v>163</v>
      </c>
      <c r="AD56" s="14" t="s">
        <v>163</v>
      </c>
      <c r="AE56" s="14" t="s">
        <v>163</v>
      </c>
      <c r="AF56" s="14" t="s">
        <v>163</v>
      </c>
      <c r="AG56" s="14" t="s">
        <v>163</v>
      </c>
      <c r="AH56" s="14" t="s">
        <v>163</v>
      </c>
      <c r="AI56" s="14" t="s">
        <v>163</v>
      </c>
      <c r="AJ56" s="14" t="s">
        <v>163</v>
      </c>
    </row>
    <row r="57" spans="1:36" x14ac:dyDescent="0.25">
      <c r="A57" s="5" t="s">
        <v>296</v>
      </c>
      <c r="B57" s="21">
        <v>-62000</v>
      </c>
      <c r="C57" s="14" t="s">
        <v>163</v>
      </c>
      <c r="D57" s="14" t="s">
        <v>163</v>
      </c>
      <c r="E57" s="14" t="s">
        <v>163</v>
      </c>
      <c r="F57" s="14" t="s">
        <v>163</v>
      </c>
      <c r="G57" s="21">
        <v>-25000</v>
      </c>
      <c r="H57" s="14" t="s">
        <v>163</v>
      </c>
      <c r="I57" s="14" t="s">
        <v>163</v>
      </c>
      <c r="J57" s="21">
        <v>-8000</v>
      </c>
      <c r="K57" s="21">
        <v>-2000</v>
      </c>
      <c r="L57" s="21">
        <v>-12000</v>
      </c>
      <c r="M57" s="14" t="s">
        <v>163</v>
      </c>
      <c r="N57" s="14" t="s">
        <v>163</v>
      </c>
      <c r="O57" s="14" t="s">
        <v>163</v>
      </c>
      <c r="P57" s="14" t="s">
        <v>163</v>
      </c>
      <c r="Q57" s="14" t="s">
        <v>163</v>
      </c>
      <c r="R57" s="14" t="s">
        <v>163</v>
      </c>
      <c r="S57" s="14" t="s">
        <v>163</v>
      </c>
      <c r="T57" s="14" t="s">
        <v>163</v>
      </c>
      <c r="U57" s="14" t="s">
        <v>163</v>
      </c>
      <c r="V57" s="14" t="s">
        <v>163</v>
      </c>
      <c r="W57" s="14" t="s">
        <v>163</v>
      </c>
      <c r="X57" s="14" t="s">
        <v>163</v>
      </c>
      <c r="Y57" s="14" t="s">
        <v>163</v>
      </c>
      <c r="Z57" s="14" t="s">
        <v>163</v>
      </c>
      <c r="AA57" s="14" t="s">
        <v>163</v>
      </c>
      <c r="AB57" s="14" t="s">
        <v>163</v>
      </c>
      <c r="AC57" s="14" t="s">
        <v>163</v>
      </c>
      <c r="AD57" s="14" t="s">
        <v>163</v>
      </c>
      <c r="AE57" s="14" t="s">
        <v>163</v>
      </c>
      <c r="AF57" s="14" t="s">
        <v>163</v>
      </c>
      <c r="AG57" s="14" t="s">
        <v>163</v>
      </c>
      <c r="AH57" s="14" t="s">
        <v>163</v>
      </c>
      <c r="AI57" s="14" t="s">
        <v>163</v>
      </c>
      <c r="AJ57" s="14" t="s">
        <v>163</v>
      </c>
    </row>
    <row r="58" spans="1:36" x14ac:dyDescent="0.25">
      <c r="A58" s="5" t="s">
        <v>297</v>
      </c>
      <c r="B58" s="14" t="s">
        <v>163</v>
      </c>
      <c r="C58" s="14" t="s">
        <v>163</v>
      </c>
      <c r="D58" s="14" t="s">
        <v>163</v>
      </c>
      <c r="E58" s="14" t="s">
        <v>163</v>
      </c>
      <c r="F58" s="14" t="s">
        <v>163</v>
      </c>
      <c r="G58" s="14" t="s">
        <v>163</v>
      </c>
      <c r="H58" s="14" t="s">
        <v>163</v>
      </c>
      <c r="I58" s="14" t="s">
        <v>163</v>
      </c>
      <c r="J58" s="14" t="s">
        <v>163</v>
      </c>
      <c r="K58" s="21">
        <v>-88000</v>
      </c>
      <c r="L58" s="21">
        <v>-89000</v>
      </c>
      <c r="M58" s="21">
        <v>-49000</v>
      </c>
      <c r="N58" s="21">
        <v>-19000</v>
      </c>
      <c r="O58" s="14" t="s">
        <v>163</v>
      </c>
      <c r="P58" s="14" t="s">
        <v>163</v>
      </c>
      <c r="Q58" s="21">
        <v>-42000</v>
      </c>
      <c r="R58" s="21">
        <v>-69000</v>
      </c>
      <c r="S58" s="21">
        <v>-95000</v>
      </c>
      <c r="T58" s="21">
        <v>-129000</v>
      </c>
      <c r="U58" s="21">
        <v>-56000</v>
      </c>
      <c r="V58" s="21">
        <v>-29000</v>
      </c>
      <c r="W58" s="21">
        <v>-29000</v>
      </c>
      <c r="X58" s="21">
        <v>-29000</v>
      </c>
      <c r="Y58" s="21">
        <v>-29000</v>
      </c>
      <c r="Z58" s="21">
        <v>-29000</v>
      </c>
      <c r="AA58" s="21">
        <v>-29000</v>
      </c>
      <c r="AB58" s="21">
        <v>-31000</v>
      </c>
      <c r="AC58" s="21">
        <v>-35000</v>
      </c>
      <c r="AD58" s="21">
        <v>-36000</v>
      </c>
      <c r="AE58" s="14" t="s">
        <v>163</v>
      </c>
      <c r="AF58" s="14" t="s">
        <v>163</v>
      </c>
      <c r="AG58" s="14" t="s">
        <v>163</v>
      </c>
      <c r="AH58" s="14" t="s">
        <v>163</v>
      </c>
      <c r="AI58" s="14" t="s">
        <v>163</v>
      </c>
      <c r="AJ58" s="14" t="s">
        <v>163</v>
      </c>
    </row>
    <row r="59" spans="1:36" x14ac:dyDescent="0.25">
      <c r="A59" s="5" t="s">
        <v>298</v>
      </c>
      <c r="B59" s="14" t="s">
        <v>163</v>
      </c>
      <c r="C59" s="14" t="s">
        <v>163</v>
      </c>
      <c r="D59" s="14" t="s">
        <v>163</v>
      </c>
      <c r="E59" s="14" t="s">
        <v>163</v>
      </c>
      <c r="F59" s="14" t="s">
        <v>163</v>
      </c>
      <c r="G59" s="14" t="s">
        <v>163</v>
      </c>
      <c r="H59" s="14" t="s">
        <v>163</v>
      </c>
      <c r="I59" s="14" t="s">
        <v>163</v>
      </c>
      <c r="J59" s="14" t="s">
        <v>163</v>
      </c>
      <c r="K59" s="21">
        <v>-9000</v>
      </c>
      <c r="L59" s="21">
        <v>-8000</v>
      </c>
      <c r="M59" s="21">
        <v>-8000</v>
      </c>
      <c r="N59" s="14" t="s">
        <v>163</v>
      </c>
      <c r="O59" s="14" t="s">
        <v>163</v>
      </c>
      <c r="P59" s="14" t="s">
        <v>163</v>
      </c>
      <c r="Q59" s="21">
        <v>-18000</v>
      </c>
      <c r="R59" s="21">
        <v>-8000</v>
      </c>
      <c r="S59" s="14" t="s">
        <v>163</v>
      </c>
      <c r="T59" s="14" t="s">
        <v>163</v>
      </c>
      <c r="U59" s="14" t="s">
        <v>163</v>
      </c>
      <c r="V59" s="14" t="s">
        <v>163</v>
      </c>
      <c r="W59" s="14" t="s">
        <v>163</v>
      </c>
      <c r="X59" s="14" t="s">
        <v>163</v>
      </c>
      <c r="Y59" s="14" t="s">
        <v>163</v>
      </c>
      <c r="Z59" s="14" t="s">
        <v>163</v>
      </c>
      <c r="AA59" s="14" t="s">
        <v>163</v>
      </c>
      <c r="AB59" s="14" t="s">
        <v>163</v>
      </c>
      <c r="AC59" s="14" t="s">
        <v>163</v>
      </c>
      <c r="AD59" s="14" t="s">
        <v>163</v>
      </c>
      <c r="AE59" s="14" t="s">
        <v>163</v>
      </c>
      <c r="AF59" s="14" t="s">
        <v>163</v>
      </c>
      <c r="AG59" s="14" t="s">
        <v>163</v>
      </c>
      <c r="AH59" s="14" t="s">
        <v>163</v>
      </c>
      <c r="AI59" s="14" t="s">
        <v>163</v>
      </c>
      <c r="AJ59" s="14" t="s">
        <v>163</v>
      </c>
    </row>
    <row r="60" spans="1:36" x14ac:dyDescent="0.25">
      <c r="A60" s="5" t="s">
        <v>299</v>
      </c>
      <c r="B60" s="21">
        <v>-45000</v>
      </c>
      <c r="C60" s="21">
        <v>-49000</v>
      </c>
      <c r="D60" s="21">
        <v>-56000</v>
      </c>
      <c r="E60" s="21">
        <v>-85000</v>
      </c>
      <c r="F60" s="21">
        <v>-98000</v>
      </c>
      <c r="G60" s="21">
        <v>-93000</v>
      </c>
      <c r="H60" s="21">
        <v>-104000</v>
      </c>
      <c r="I60" s="21">
        <v>-96000</v>
      </c>
      <c r="J60" s="21">
        <v>-96000</v>
      </c>
      <c r="K60" s="14" t="s">
        <v>163</v>
      </c>
      <c r="L60" s="14" t="s">
        <v>163</v>
      </c>
      <c r="M60" s="14" t="s">
        <v>163</v>
      </c>
      <c r="N60" s="14" t="s">
        <v>163</v>
      </c>
      <c r="O60" s="21">
        <v>-35000</v>
      </c>
      <c r="P60" s="21">
        <v>-39000</v>
      </c>
      <c r="Q60" s="14" t="s">
        <v>163</v>
      </c>
      <c r="R60" s="14" t="s">
        <v>163</v>
      </c>
      <c r="S60" s="14" t="s">
        <v>163</v>
      </c>
      <c r="T60" s="14" t="s">
        <v>163</v>
      </c>
      <c r="U60" s="14" t="s">
        <v>163</v>
      </c>
      <c r="V60" s="14" t="s">
        <v>163</v>
      </c>
      <c r="W60" s="14" t="s">
        <v>163</v>
      </c>
      <c r="X60" s="14" t="s">
        <v>163</v>
      </c>
      <c r="Y60" s="14" t="s">
        <v>163</v>
      </c>
      <c r="Z60" s="14" t="s">
        <v>163</v>
      </c>
      <c r="AA60" s="14" t="s">
        <v>163</v>
      </c>
      <c r="AB60" s="14" t="s">
        <v>163</v>
      </c>
      <c r="AC60" s="14" t="s">
        <v>163</v>
      </c>
      <c r="AD60" s="14" t="s">
        <v>163</v>
      </c>
      <c r="AE60" s="14" t="s">
        <v>163</v>
      </c>
      <c r="AF60" s="14" t="s">
        <v>163</v>
      </c>
      <c r="AG60" s="14" t="s">
        <v>163</v>
      </c>
      <c r="AH60" s="14" t="s">
        <v>163</v>
      </c>
      <c r="AI60" s="14" t="s">
        <v>163</v>
      </c>
      <c r="AJ60" s="14" t="s">
        <v>163</v>
      </c>
    </row>
    <row r="61" spans="1:36" x14ac:dyDescent="0.25">
      <c r="A61" s="5" t="s">
        <v>300</v>
      </c>
      <c r="B61" s="21">
        <v>-45000</v>
      </c>
      <c r="C61" s="21">
        <v>-49000</v>
      </c>
      <c r="D61" s="21">
        <v>-56000</v>
      </c>
      <c r="E61" s="21">
        <v>-85000</v>
      </c>
      <c r="F61" s="21">
        <v>-98000</v>
      </c>
      <c r="G61" s="21">
        <v>-93000</v>
      </c>
      <c r="H61" s="21">
        <v>-104000</v>
      </c>
      <c r="I61" s="21">
        <v>-96000</v>
      </c>
      <c r="J61" s="21">
        <v>-96000</v>
      </c>
      <c r="K61" s="21">
        <v>-97000</v>
      </c>
      <c r="L61" s="21">
        <v>-97000</v>
      </c>
      <c r="M61" s="21">
        <v>-57000</v>
      </c>
      <c r="N61" s="21">
        <v>-19000</v>
      </c>
      <c r="O61" s="21">
        <v>-35000</v>
      </c>
      <c r="P61" s="21">
        <v>-39000</v>
      </c>
      <c r="Q61" s="21">
        <v>-60000</v>
      </c>
      <c r="R61" s="21">
        <v>-77000</v>
      </c>
      <c r="S61" s="21">
        <v>-95000</v>
      </c>
      <c r="T61" s="21">
        <v>-129000</v>
      </c>
      <c r="U61" s="21">
        <v>-56000</v>
      </c>
      <c r="V61" s="21">
        <v>-29000</v>
      </c>
      <c r="W61" s="21">
        <v>-29000</v>
      </c>
      <c r="X61" s="21">
        <v>-29000</v>
      </c>
      <c r="Y61" s="21">
        <v>-29000</v>
      </c>
      <c r="Z61" s="21">
        <v>-29000</v>
      </c>
      <c r="AA61" s="21">
        <v>-29000</v>
      </c>
      <c r="AB61" s="21">
        <v>-31000</v>
      </c>
      <c r="AC61" s="21">
        <v>-35000</v>
      </c>
      <c r="AD61" s="21">
        <v>-36000</v>
      </c>
      <c r="AE61" s="14" t="s">
        <v>163</v>
      </c>
      <c r="AF61" s="14" t="s">
        <v>163</v>
      </c>
      <c r="AG61" s="14" t="s">
        <v>163</v>
      </c>
      <c r="AH61" s="14" t="s">
        <v>163</v>
      </c>
      <c r="AI61" s="14" t="s">
        <v>163</v>
      </c>
      <c r="AJ61" s="14" t="s">
        <v>163</v>
      </c>
    </row>
    <row r="62" spans="1:36" x14ac:dyDescent="0.25">
      <c r="A62" s="5" t="s">
        <v>301</v>
      </c>
      <c r="B62" s="14" t="s">
        <v>163</v>
      </c>
      <c r="C62" s="14" t="s">
        <v>163</v>
      </c>
      <c r="D62" s="14" t="s">
        <v>163</v>
      </c>
      <c r="E62" s="14" t="s">
        <v>163</v>
      </c>
      <c r="F62" s="21">
        <v>73000</v>
      </c>
      <c r="G62" s="14" t="s">
        <v>163</v>
      </c>
      <c r="H62" s="14" t="s">
        <v>163</v>
      </c>
      <c r="I62" s="14" t="s">
        <v>163</v>
      </c>
      <c r="J62" s="14" t="s">
        <v>163</v>
      </c>
      <c r="K62" s="14" t="s">
        <v>163</v>
      </c>
      <c r="L62" s="14" t="s">
        <v>163</v>
      </c>
      <c r="M62" s="14" t="s">
        <v>163</v>
      </c>
      <c r="N62" s="21">
        <v>-54000</v>
      </c>
      <c r="O62" s="14" t="s">
        <v>163</v>
      </c>
      <c r="P62" s="21">
        <v>-27000</v>
      </c>
      <c r="Q62" s="21">
        <v>-33000</v>
      </c>
      <c r="R62" s="21">
        <v>-13000</v>
      </c>
      <c r="S62" s="21">
        <v>-5000</v>
      </c>
      <c r="T62" s="21">
        <v>111000</v>
      </c>
      <c r="U62" s="21">
        <v>161000</v>
      </c>
      <c r="V62" s="14" t="s">
        <v>163</v>
      </c>
      <c r="W62" s="21">
        <v>1000</v>
      </c>
      <c r="X62" s="21">
        <v>-9000</v>
      </c>
      <c r="Y62" s="21">
        <v>-15000</v>
      </c>
      <c r="Z62" s="14" t="s">
        <v>163</v>
      </c>
      <c r="AA62" s="14" t="s">
        <v>163</v>
      </c>
      <c r="AB62" s="21">
        <v>-37000</v>
      </c>
      <c r="AC62" s="21">
        <v>-13000</v>
      </c>
      <c r="AD62" s="14" t="s">
        <v>163</v>
      </c>
      <c r="AE62" s="21">
        <v>-42000</v>
      </c>
      <c r="AF62" s="21">
        <v>85000</v>
      </c>
      <c r="AG62" s="21">
        <v>-27000</v>
      </c>
      <c r="AH62" s="21">
        <v>20000</v>
      </c>
      <c r="AI62" s="21">
        <v>-75000</v>
      </c>
      <c r="AJ62" s="21">
        <v>-71000</v>
      </c>
    </row>
    <row r="63" spans="1:36" x14ac:dyDescent="0.25">
      <c r="A63" s="5" t="s">
        <v>302</v>
      </c>
      <c r="B63" s="21">
        <v>-218000</v>
      </c>
      <c r="C63" s="21">
        <v>456000</v>
      </c>
      <c r="D63" s="21">
        <v>359000</v>
      </c>
      <c r="E63" s="21">
        <v>-113000</v>
      </c>
      <c r="F63" s="21">
        <v>114000</v>
      </c>
      <c r="G63" s="21">
        <v>-303000</v>
      </c>
      <c r="H63" s="21">
        <v>24000</v>
      </c>
      <c r="I63" s="21">
        <v>-615000</v>
      </c>
      <c r="J63" s="21">
        <v>-40000</v>
      </c>
      <c r="K63" s="21">
        <v>387000</v>
      </c>
      <c r="L63" s="21">
        <v>1093000</v>
      </c>
      <c r="M63" s="21">
        <v>-501000</v>
      </c>
      <c r="N63" s="21">
        <v>122000</v>
      </c>
      <c r="O63" s="21">
        <v>627000</v>
      </c>
      <c r="P63" s="21">
        <v>-203000</v>
      </c>
      <c r="Q63" s="21">
        <v>-61000</v>
      </c>
      <c r="R63" s="21">
        <v>-1106000</v>
      </c>
      <c r="S63" s="21">
        <v>1904000</v>
      </c>
      <c r="T63" s="21">
        <v>-305000</v>
      </c>
      <c r="U63" s="21">
        <v>938000</v>
      </c>
      <c r="V63" s="21">
        <v>335000</v>
      </c>
      <c r="W63" s="21">
        <v>477000</v>
      </c>
      <c r="X63" s="21">
        <v>-373000</v>
      </c>
      <c r="Y63" s="21">
        <v>4000</v>
      </c>
      <c r="Z63" s="21">
        <v>-341000</v>
      </c>
      <c r="AA63" s="21">
        <v>-408000</v>
      </c>
      <c r="AB63" s="21">
        <v>332000</v>
      </c>
      <c r="AC63" s="21">
        <v>-415000</v>
      </c>
      <c r="AD63" s="21">
        <v>-515000</v>
      </c>
      <c r="AE63" s="21">
        <v>1177000</v>
      </c>
      <c r="AF63" s="21">
        <v>1581000</v>
      </c>
      <c r="AG63" s="21">
        <v>-2747000</v>
      </c>
      <c r="AH63" s="21">
        <v>-868000</v>
      </c>
      <c r="AI63" s="21">
        <v>-98000</v>
      </c>
      <c r="AJ63" s="21">
        <v>-199000</v>
      </c>
    </row>
    <row r="64" spans="1:36" x14ac:dyDescent="0.25">
      <c r="A64" s="20" t="s">
        <v>303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spans="1:36" x14ac:dyDescent="0.25">
      <c r="A65" s="5" t="s">
        <v>304</v>
      </c>
      <c r="B65" s="14" t="s">
        <v>163</v>
      </c>
      <c r="C65" s="14" t="s">
        <v>163</v>
      </c>
      <c r="D65" s="14" t="s">
        <v>163</v>
      </c>
      <c r="E65" s="14" t="s">
        <v>163</v>
      </c>
      <c r="F65" s="14" t="s">
        <v>163</v>
      </c>
      <c r="G65" s="14" t="s">
        <v>163</v>
      </c>
      <c r="H65" s="14" t="s">
        <v>163</v>
      </c>
      <c r="I65" s="14" t="s">
        <v>163</v>
      </c>
      <c r="J65" s="14" t="s">
        <v>163</v>
      </c>
      <c r="K65" s="14" t="s">
        <v>163</v>
      </c>
      <c r="L65" s="21">
        <v>1000</v>
      </c>
      <c r="M65" s="21">
        <v>-1000</v>
      </c>
      <c r="N65" s="21">
        <v>4000</v>
      </c>
      <c r="O65" s="21">
        <v>-1000</v>
      </c>
      <c r="P65" s="21">
        <v>8000</v>
      </c>
      <c r="Q65" s="21">
        <v>-7000</v>
      </c>
      <c r="R65" s="21">
        <v>7000</v>
      </c>
      <c r="S65" s="21">
        <v>18000</v>
      </c>
      <c r="T65" s="21">
        <v>2000</v>
      </c>
      <c r="U65" s="21">
        <v>-9000</v>
      </c>
      <c r="V65" s="21">
        <v>-13000</v>
      </c>
      <c r="W65" s="21">
        <v>-2000</v>
      </c>
      <c r="X65" s="21">
        <v>2000</v>
      </c>
      <c r="Y65" s="21">
        <v>9000</v>
      </c>
      <c r="Z65" s="21">
        <v>-35000</v>
      </c>
      <c r="AA65" s="21">
        <v>-41000</v>
      </c>
      <c r="AB65" s="21">
        <v>-8000</v>
      </c>
      <c r="AC65" s="21">
        <v>17000</v>
      </c>
      <c r="AD65" s="21">
        <v>-17000</v>
      </c>
      <c r="AE65" s="21">
        <v>-2000</v>
      </c>
      <c r="AF65" s="21">
        <v>23000</v>
      </c>
      <c r="AG65" s="21">
        <v>-21000</v>
      </c>
      <c r="AH65" s="21">
        <v>-19000</v>
      </c>
      <c r="AI65" s="21">
        <v>15000</v>
      </c>
      <c r="AJ65" s="21">
        <v>-19000</v>
      </c>
    </row>
    <row r="66" spans="1:36" x14ac:dyDescent="0.25">
      <c r="A66" s="5" t="s">
        <v>305</v>
      </c>
      <c r="B66" s="21">
        <v>-226000</v>
      </c>
      <c r="C66" s="21">
        <v>9000</v>
      </c>
      <c r="D66" s="21">
        <v>-57000</v>
      </c>
      <c r="E66" s="21">
        <v>57000</v>
      </c>
      <c r="F66" s="21">
        <v>-59000</v>
      </c>
      <c r="G66" s="21">
        <v>32000</v>
      </c>
      <c r="H66" s="21">
        <v>-29000</v>
      </c>
      <c r="I66" s="21">
        <v>-5000</v>
      </c>
      <c r="J66" s="21">
        <v>-9000</v>
      </c>
      <c r="K66" s="21">
        <v>13000</v>
      </c>
      <c r="L66" s="21">
        <v>197000</v>
      </c>
      <c r="M66" s="21">
        <v>-72000</v>
      </c>
      <c r="N66" s="21">
        <v>96000</v>
      </c>
      <c r="O66" s="21">
        <v>73000</v>
      </c>
      <c r="P66" s="21">
        <v>721000</v>
      </c>
      <c r="Q66" s="21">
        <v>442000</v>
      </c>
      <c r="R66" s="21">
        <v>-57000</v>
      </c>
      <c r="S66" s="21">
        <v>-1021000</v>
      </c>
      <c r="T66" s="21">
        <v>323000</v>
      </c>
      <c r="U66" s="21">
        <v>494000</v>
      </c>
      <c r="V66" s="21">
        <v>-640000</v>
      </c>
      <c r="W66" s="21">
        <v>-170000</v>
      </c>
      <c r="X66" s="21">
        <v>162000</v>
      </c>
      <c r="Y66" s="21">
        <v>34000</v>
      </c>
      <c r="Z66" s="21">
        <v>750000</v>
      </c>
      <c r="AA66" s="21">
        <v>-599000</v>
      </c>
      <c r="AB66" s="21">
        <v>763000</v>
      </c>
      <c r="AC66" s="21">
        <v>42000</v>
      </c>
      <c r="AD66" s="21">
        <v>-557000</v>
      </c>
      <c r="AE66" s="21">
        <v>-101000</v>
      </c>
      <c r="AF66" s="21">
        <v>1179000</v>
      </c>
      <c r="AG66" s="21">
        <v>482000</v>
      </c>
      <c r="AH66" s="21">
        <v>939000</v>
      </c>
      <c r="AI66" s="21">
        <v>-551000</v>
      </c>
      <c r="AJ66" s="21">
        <v>-1575000</v>
      </c>
    </row>
    <row r="67" spans="1:36" x14ac:dyDescent="0.25">
      <c r="A67" s="20" t="s">
        <v>105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1:36" x14ac:dyDescent="0.25">
      <c r="A68" s="5" t="s">
        <v>306</v>
      </c>
      <c r="B68" s="14" t="s">
        <v>163</v>
      </c>
      <c r="C68" s="14" t="s">
        <v>163</v>
      </c>
      <c r="D68" s="14" t="s">
        <v>163</v>
      </c>
      <c r="E68" s="14" t="s">
        <v>163</v>
      </c>
      <c r="F68" s="14" t="s">
        <v>163</v>
      </c>
      <c r="G68" s="14" t="s">
        <v>163</v>
      </c>
      <c r="H68" s="14" t="s">
        <v>163</v>
      </c>
      <c r="I68" s="14" t="s">
        <v>163</v>
      </c>
      <c r="J68" s="14" t="s">
        <v>163</v>
      </c>
      <c r="K68" s="14" t="s">
        <v>163</v>
      </c>
      <c r="L68" s="14" t="s">
        <v>163</v>
      </c>
      <c r="M68" s="14" t="s">
        <v>163</v>
      </c>
      <c r="N68" s="14" t="s">
        <v>163</v>
      </c>
      <c r="O68" s="14" t="s">
        <v>163</v>
      </c>
      <c r="P68" s="14" t="s">
        <v>163</v>
      </c>
      <c r="Q68" s="21">
        <v>107000</v>
      </c>
      <c r="R68" s="21">
        <v>162000</v>
      </c>
      <c r="S68" s="21">
        <v>189000</v>
      </c>
      <c r="T68" s="21">
        <v>155000</v>
      </c>
      <c r="U68" s="21">
        <v>169000</v>
      </c>
      <c r="V68" s="21">
        <v>195000</v>
      </c>
      <c r="W68" s="21">
        <v>222000</v>
      </c>
      <c r="X68" s="21">
        <v>239000</v>
      </c>
      <c r="Y68" s="21">
        <v>238000</v>
      </c>
      <c r="Z68" s="21">
        <v>236000</v>
      </c>
      <c r="AA68" s="21">
        <v>229000</v>
      </c>
      <c r="AB68" s="21">
        <v>193000</v>
      </c>
      <c r="AC68" s="21">
        <v>242000</v>
      </c>
      <c r="AD68" s="21">
        <v>207000</v>
      </c>
      <c r="AE68" s="21">
        <v>151000</v>
      </c>
      <c r="AF68" s="21">
        <v>248000</v>
      </c>
      <c r="AG68" s="21">
        <v>319000</v>
      </c>
      <c r="AH68" s="21">
        <v>161000</v>
      </c>
      <c r="AI68" s="21">
        <v>68000</v>
      </c>
      <c r="AJ68" s="21">
        <v>35000</v>
      </c>
    </row>
    <row r="69" spans="1:36" x14ac:dyDescent="0.25">
      <c r="A69" s="5" t="s">
        <v>307</v>
      </c>
      <c r="B69" s="14" t="s">
        <v>163</v>
      </c>
      <c r="C69" s="21">
        <v>141000</v>
      </c>
      <c r="D69" s="21">
        <v>60000</v>
      </c>
      <c r="E69" s="21">
        <v>78000</v>
      </c>
      <c r="F69" s="21">
        <v>-16000</v>
      </c>
      <c r="G69" s="21">
        <v>170000</v>
      </c>
      <c r="H69" s="21">
        <v>127000</v>
      </c>
      <c r="I69" s="21">
        <v>400000</v>
      </c>
      <c r="J69" s="21">
        <v>183000</v>
      </c>
      <c r="K69" s="21">
        <v>-3000</v>
      </c>
      <c r="L69" s="21">
        <v>-81000</v>
      </c>
      <c r="M69" s="21">
        <v>-828000</v>
      </c>
      <c r="N69" s="21">
        <v>-3000</v>
      </c>
      <c r="O69" s="21">
        <v>-11000</v>
      </c>
      <c r="P69" s="21">
        <v>35000</v>
      </c>
      <c r="Q69" s="21">
        <v>284000</v>
      </c>
      <c r="R69" s="21">
        <v>243000</v>
      </c>
      <c r="S69" s="21">
        <v>142000</v>
      </c>
      <c r="T69" s="21">
        <v>359000</v>
      </c>
      <c r="U69" s="14" t="s">
        <v>163</v>
      </c>
      <c r="V69" s="21">
        <v>63000</v>
      </c>
      <c r="W69" s="21">
        <v>-13000</v>
      </c>
      <c r="X69" s="21">
        <v>71000</v>
      </c>
      <c r="Y69" s="21">
        <v>20000</v>
      </c>
      <c r="Z69" s="21">
        <v>-157000</v>
      </c>
      <c r="AA69" s="14" t="s">
        <v>163</v>
      </c>
      <c r="AB69" s="21">
        <v>6000</v>
      </c>
      <c r="AC69" s="21">
        <v>40000</v>
      </c>
      <c r="AD69" s="21">
        <v>39000</v>
      </c>
      <c r="AE69" s="21">
        <v>-38000</v>
      </c>
      <c r="AF69" s="21">
        <v>-45000</v>
      </c>
      <c r="AG69" s="21">
        <v>75000</v>
      </c>
      <c r="AH69" s="21">
        <v>242000</v>
      </c>
      <c r="AI69" s="21">
        <v>86000</v>
      </c>
      <c r="AJ69" s="21">
        <v>53000</v>
      </c>
    </row>
    <row r="70" spans="1:36" x14ac:dyDescent="0.25">
      <c r="A70" s="5" t="s">
        <v>308</v>
      </c>
      <c r="B70" s="14" t="s">
        <v>163</v>
      </c>
      <c r="C70" s="14" t="s">
        <v>163</v>
      </c>
      <c r="D70" s="21">
        <v>-228375</v>
      </c>
      <c r="E70" s="21">
        <v>149875</v>
      </c>
      <c r="F70" s="21">
        <v>-469500</v>
      </c>
      <c r="G70" s="21">
        <v>759000</v>
      </c>
      <c r="H70" s="21">
        <v>-124750</v>
      </c>
      <c r="I70" s="21">
        <v>347875</v>
      </c>
      <c r="J70" s="21">
        <v>214625</v>
      </c>
      <c r="K70" s="21">
        <v>-306875</v>
      </c>
      <c r="L70" s="21">
        <v>-532250</v>
      </c>
      <c r="M70" s="21">
        <v>247125</v>
      </c>
      <c r="N70" s="21">
        <v>-122500</v>
      </c>
      <c r="O70" s="21">
        <v>111625</v>
      </c>
      <c r="P70" s="21">
        <v>573875</v>
      </c>
      <c r="Q70" s="21">
        <v>379625</v>
      </c>
      <c r="R70" s="21">
        <v>569000</v>
      </c>
      <c r="S70" s="21">
        <v>-5875</v>
      </c>
      <c r="T70" s="21">
        <v>744875</v>
      </c>
      <c r="U70" s="21">
        <v>-117625</v>
      </c>
      <c r="V70" s="21">
        <v>-659500</v>
      </c>
      <c r="W70" s="21">
        <v>-487875</v>
      </c>
      <c r="X70" s="21">
        <v>260625</v>
      </c>
      <c r="Y70" s="21">
        <v>-472500</v>
      </c>
      <c r="Z70" s="21">
        <v>1864375</v>
      </c>
      <c r="AA70" s="21">
        <v>-161625</v>
      </c>
      <c r="AB70" s="21">
        <v>496375</v>
      </c>
      <c r="AC70" s="21">
        <v>329750</v>
      </c>
      <c r="AD70" s="21">
        <v>-230250</v>
      </c>
      <c r="AE70" s="21">
        <v>-596875</v>
      </c>
      <c r="AF70" s="21">
        <v>-214375</v>
      </c>
      <c r="AG70" s="21">
        <v>1834750</v>
      </c>
      <c r="AH70" s="21">
        <v>1428000</v>
      </c>
      <c r="AI70" s="21">
        <v>-750750</v>
      </c>
      <c r="AJ70" s="21">
        <v>-1552250</v>
      </c>
    </row>
    <row r="71" spans="1:36" x14ac:dyDescent="0.25">
      <c r="A71" s="5" t="s">
        <v>309</v>
      </c>
      <c r="B71" s="14" t="s">
        <v>163</v>
      </c>
      <c r="C71" s="14" t="s">
        <v>163</v>
      </c>
      <c r="D71" s="21">
        <v>-118375</v>
      </c>
      <c r="E71" s="21">
        <v>356125</v>
      </c>
      <c r="F71" s="21">
        <v>-374500</v>
      </c>
      <c r="G71" s="21">
        <v>844625</v>
      </c>
      <c r="H71" s="21">
        <v>-49750</v>
      </c>
      <c r="I71" s="21">
        <v>404750</v>
      </c>
      <c r="J71" s="21">
        <v>244000</v>
      </c>
      <c r="K71" s="21">
        <v>-260000</v>
      </c>
      <c r="L71" s="21">
        <v>-472250</v>
      </c>
      <c r="M71" s="21">
        <v>372125</v>
      </c>
      <c r="N71" s="21">
        <v>-40625</v>
      </c>
      <c r="O71" s="21">
        <v>207250</v>
      </c>
      <c r="P71" s="21">
        <v>672625</v>
      </c>
      <c r="Q71" s="21">
        <v>429000</v>
      </c>
      <c r="R71" s="21">
        <v>641500</v>
      </c>
      <c r="S71" s="21">
        <v>89125</v>
      </c>
      <c r="T71" s="21">
        <v>853625</v>
      </c>
      <c r="U71" s="21">
        <v>-10125</v>
      </c>
      <c r="V71" s="21">
        <v>-528250</v>
      </c>
      <c r="W71" s="21">
        <v>-359125</v>
      </c>
      <c r="X71" s="21">
        <v>404375</v>
      </c>
      <c r="Y71" s="21">
        <v>-293750</v>
      </c>
      <c r="Z71" s="21">
        <v>2018125</v>
      </c>
      <c r="AA71" s="21">
        <v>-21000</v>
      </c>
      <c r="AB71" s="21">
        <v>645750</v>
      </c>
      <c r="AC71" s="21">
        <v>477250</v>
      </c>
      <c r="AD71" s="21">
        <v>-120250</v>
      </c>
      <c r="AE71" s="21">
        <v>-503750</v>
      </c>
      <c r="AF71" s="21">
        <v>-30000</v>
      </c>
      <c r="AG71" s="21">
        <v>2039125</v>
      </c>
      <c r="AH71" s="21">
        <v>1533000</v>
      </c>
      <c r="AI71" s="21">
        <v>-700125</v>
      </c>
      <c r="AJ71" s="21">
        <v>-1531625</v>
      </c>
    </row>
    <row r="72" spans="1:36" x14ac:dyDescent="0.25">
      <c r="A72" s="5" t="s">
        <v>310</v>
      </c>
      <c r="B72" s="14" t="s">
        <v>163</v>
      </c>
      <c r="C72" s="14" t="s">
        <v>163</v>
      </c>
      <c r="D72" s="21">
        <v>-36000</v>
      </c>
      <c r="E72" s="21">
        <v>-307000</v>
      </c>
      <c r="F72" s="21">
        <v>643000</v>
      </c>
      <c r="G72" s="21">
        <v>-540000</v>
      </c>
      <c r="H72" s="21">
        <v>223000</v>
      </c>
      <c r="I72" s="21">
        <v>49000</v>
      </c>
      <c r="J72" s="21">
        <v>29000</v>
      </c>
      <c r="K72" s="21">
        <v>413000</v>
      </c>
      <c r="L72" s="21">
        <v>628000</v>
      </c>
      <c r="M72" s="21">
        <v>-616000</v>
      </c>
      <c r="N72" s="21">
        <v>151000</v>
      </c>
      <c r="O72" s="21">
        <v>-145000</v>
      </c>
      <c r="P72" s="21">
        <v>81000</v>
      </c>
      <c r="Q72" s="21">
        <v>76000</v>
      </c>
      <c r="R72" s="21">
        <v>291000</v>
      </c>
      <c r="S72" s="21">
        <v>511000</v>
      </c>
      <c r="T72" s="21">
        <v>646000</v>
      </c>
      <c r="U72" s="21">
        <v>-969000</v>
      </c>
      <c r="V72" s="21">
        <v>453000</v>
      </c>
      <c r="W72" s="21">
        <v>322000</v>
      </c>
      <c r="X72" s="21">
        <v>-179000</v>
      </c>
      <c r="Y72" s="21">
        <v>614000</v>
      </c>
      <c r="Z72" s="21">
        <v>-1268000</v>
      </c>
      <c r="AA72" s="21">
        <v>-225000</v>
      </c>
      <c r="AB72" s="21">
        <v>-499000</v>
      </c>
      <c r="AC72" s="21">
        <v>-128000</v>
      </c>
      <c r="AD72" s="21">
        <v>266000</v>
      </c>
      <c r="AE72" s="21">
        <v>-185000</v>
      </c>
      <c r="AF72" s="21">
        <v>-471000</v>
      </c>
      <c r="AG72" s="21">
        <v>822000</v>
      </c>
      <c r="AH72" s="21">
        <v>-349000</v>
      </c>
      <c r="AI72" s="21">
        <v>-282000</v>
      </c>
      <c r="AJ72" s="21">
        <v>389000</v>
      </c>
    </row>
    <row r="73" spans="1:36" x14ac:dyDescent="0.25">
      <c r="A73" s="5" t="s">
        <v>311</v>
      </c>
      <c r="B73" s="21">
        <v>-93000</v>
      </c>
      <c r="C73" s="21">
        <v>502000</v>
      </c>
      <c r="D73" s="21">
        <v>203000</v>
      </c>
      <c r="E73" s="21">
        <v>-730000</v>
      </c>
      <c r="F73" s="21">
        <v>-82000</v>
      </c>
      <c r="G73" s="21">
        <v>-403000</v>
      </c>
      <c r="H73" s="21">
        <v>77000</v>
      </c>
      <c r="I73" s="21">
        <v>-567000</v>
      </c>
      <c r="J73" s="21">
        <v>9000</v>
      </c>
      <c r="K73" s="21">
        <v>486000</v>
      </c>
      <c r="L73" s="21">
        <v>1202000</v>
      </c>
      <c r="M73" s="21">
        <v>-444000</v>
      </c>
      <c r="N73" s="21">
        <v>-32000</v>
      </c>
      <c r="O73" s="21">
        <v>397000</v>
      </c>
      <c r="P73" s="21">
        <v>-498000</v>
      </c>
      <c r="Q73" s="21">
        <v>258000</v>
      </c>
      <c r="R73" s="21">
        <v>-607000</v>
      </c>
      <c r="S73" s="21">
        <v>2103000</v>
      </c>
      <c r="T73" s="21">
        <v>-65000</v>
      </c>
      <c r="U73" s="21">
        <v>166000</v>
      </c>
      <c r="V73" s="21">
        <v>359000</v>
      </c>
      <c r="W73" s="21">
        <v>502000</v>
      </c>
      <c r="X73" s="21">
        <v>-335000</v>
      </c>
      <c r="Y73" s="21">
        <v>48000</v>
      </c>
      <c r="Z73" s="21">
        <v>-325000</v>
      </c>
      <c r="AA73" s="21">
        <v>-379000</v>
      </c>
      <c r="AB73" s="21">
        <v>-113000</v>
      </c>
      <c r="AC73" s="21">
        <v>-377000</v>
      </c>
      <c r="AD73" s="21">
        <v>-431000</v>
      </c>
      <c r="AE73" s="21">
        <v>1307000</v>
      </c>
      <c r="AF73" s="21">
        <v>1086000</v>
      </c>
      <c r="AG73" s="21">
        <v>-3360000</v>
      </c>
      <c r="AH73" s="21">
        <v>-39000</v>
      </c>
      <c r="AI73" s="21">
        <v>152000</v>
      </c>
      <c r="AJ73" s="21">
        <v>-128000</v>
      </c>
    </row>
    <row r="74" spans="1:36" x14ac:dyDescent="0.25">
      <c r="A74" s="5" t="s">
        <v>131</v>
      </c>
      <c r="B74" s="14" t="s">
        <v>132</v>
      </c>
      <c r="C74" s="14" t="s">
        <v>133</v>
      </c>
      <c r="D74" s="14" t="s">
        <v>133</v>
      </c>
      <c r="E74" s="14" t="s">
        <v>135</v>
      </c>
      <c r="F74" s="14" t="s">
        <v>135</v>
      </c>
      <c r="G74" s="14" t="s">
        <v>133</v>
      </c>
      <c r="H74" s="14" t="s">
        <v>133</v>
      </c>
      <c r="I74" s="14" t="s">
        <v>135</v>
      </c>
      <c r="J74" s="14" t="s">
        <v>135</v>
      </c>
      <c r="K74" s="14" t="s">
        <v>133</v>
      </c>
      <c r="L74" s="14" t="s">
        <v>133</v>
      </c>
      <c r="M74" s="14" t="s">
        <v>133</v>
      </c>
      <c r="N74" s="14" t="s">
        <v>133</v>
      </c>
      <c r="O74" s="14" t="s">
        <v>135</v>
      </c>
      <c r="P74" s="14" t="s">
        <v>135</v>
      </c>
      <c r="Q74" s="14" t="s">
        <v>133</v>
      </c>
      <c r="R74" s="14" t="s">
        <v>135</v>
      </c>
      <c r="S74" s="14" t="s">
        <v>135</v>
      </c>
      <c r="T74" s="14" t="s">
        <v>133</v>
      </c>
      <c r="U74" s="14" t="s">
        <v>133</v>
      </c>
      <c r="V74" s="14" t="s">
        <v>133</v>
      </c>
      <c r="W74" s="14" t="s">
        <v>133</v>
      </c>
      <c r="X74" s="14" t="s">
        <v>133</v>
      </c>
      <c r="Y74" s="14" t="s">
        <v>135</v>
      </c>
      <c r="Z74" s="14" t="s">
        <v>135</v>
      </c>
      <c r="AA74" s="14" t="s">
        <v>135</v>
      </c>
      <c r="AB74" s="14" t="s">
        <v>135</v>
      </c>
      <c r="AC74" s="14" t="s">
        <v>135</v>
      </c>
      <c r="AD74" s="14" t="s">
        <v>133</v>
      </c>
      <c r="AE74" s="14" t="s">
        <v>133</v>
      </c>
      <c r="AF74" s="14" t="s">
        <v>133</v>
      </c>
      <c r="AG74" s="14" t="s">
        <v>133</v>
      </c>
      <c r="AH74" s="14" t="s">
        <v>133</v>
      </c>
      <c r="AI74" s="14" t="s">
        <v>133</v>
      </c>
      <c r="AJ74" s="14" t="s">
        <v>132</v>
      </c>
    </row>
    <row r="75" spans="1:36" x14ac:dyDescent="0.25">
      <c r="A75" s="5" t="s">
        <v>136</v>
      </c>
      <c r="B75" s="14" t="s">
        <v>137</v>
      </c>
      <c r="C75" s="14" t="s">
        <v>137</v>
      </c>
      <c r="D75" s="14" t="s">
        <v>137</v>
      </c>
      <c r="E75" s="14" t="s">
        <v>137</v>
      </c>
      <c r="F75" s="14" t="s">
        <v>137</v>
      </c>
      <c r="G75" s="14" t="s">
        <v>137</v>
      </c>
      <c r="H75" s="14" t="s">
        <v>137</v>
      </c>
      <c r="I75" s="14" t="s">
        <v>137</v>
      </c>
      <c r="J75" s="14" t="s">
        <v>137</v>
      </c>
      <c r="K75" s="14" t="s">
        <v>137</v>
      </c>
      <c r="L75" s="14" t="s">
        <v>137</v>
      </c>
      <c r="M75" s="14" t="s">
        <v>137</v>
      </c>
      <c r="N75" s="14" t="s">
        <v>137</v>
      </c>
      <c r="O75" s="14" t="s">
        <v>137</v>
      </c>
      <c r="P75" s="14" t="s">
        <v>137</v>
      </c>
      <c r="Q75" s="14" t="s">
        <v>137</v>
      </c>
      <c r="R75" s="14" t="s">
        <v>137</v>
      </c>
      <c r="S75" s="14" t="s">
        <v>137</v>
      </c>
      <c r="T75" s="14" t="s">
        <v>137</v>
      </c>
      <c r="U75" s="14" t="s">
        <v>137</v>
      </c>
      <c r="V75" s="14" t="s">
        <v>137</v>
      </c>
      <c r="W75" s="14" t="s">
        <v>137</v>
      </c>
      <c r="X75" s="14" t="s">
        <v>137</v>
      </c>
      <c r="Y75" s="14" t="s">
        <v>137</v>
      </c>
      <c r="Z75" s="14" t="s">
        <v>137</v>
      </c>
      <c r="AA75" s="14" t="s">
        <v>137</v>
      </c>
      <c r="AB75" s="14" t="s">
        <v>137</v>
      </c>
      <c r="AC75" s="14" t="s">
        <v>137</v>
      </c>
      <c r="AD75" s="14" t="s">
        <v>137</v>
      </c>
      <c r="AE75" s="14" t="s">
        <v>137</v>
      </c>
      <c r="AF75" s="14" t="s">
        <v>137</v>
      </c>
      <c r="AG75" s="14" t="s">
        <v>137</v>
      </c>
      <c r="AH75" s="14" t="s">
        <v>137</v>
      </c>
      <c r="AI75" s="14" t="s">
        <v>137</v>
      </c>
      <c r="AJ75" s="14" t="s">
        <v>137</v>
      </c>
    </row>
    <row r="76" spans="1:36" x14ac:dyDescent="0.25">
      <c r="A76" s="6"/>
    </row>
  </sheetData>
  <mergeCells count="3">
    <mergeCell ref="A1:D1"/>
    <mergeCell ref="A2:AJ2"/>
    <mergeCell ref="A12:AJ12"/>
  </mergeCell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4D12-7AE4-4849-8C8F-D689D6E731B9}">
  <sheetPr>
    <tabColor theme="5"/>
  </sheetPr>
  <dimension ref="A1:AK85"/>
  <sheetViews>
    <sheetView topLeftCell="A4" workbookViewId="0">
      <selection activeCell="D14" sqref="D14:AJ53"/>
    </sheetView>
  </sheetViews>
  <sheetFormatPr defaultRowHeight="15" x14ac:dyDescent="0.25"/>
  <cols>
    <col min="1" max="1" width="45.85546875" customWidth="1"/>
    <col min="2" max="2" width="16.140625" customWidth="1"/>
    <col min="3" max="37" width="28.42578125" customWidth="1"/>
  </cols>
  <sheetData>
    <row r="1" spans="1:37" ht="39.950000000000003" customHeight="1" x14ac:dyDescent="0.25">
      <c r="A1" s="1"/>
      <c r="B1" s="1"/>
      <c r="C1" s="1"/>
      <c r="D1" s="1"/>
    </row>
    <row r="2" spans="1:37" ht="30" customHeight="1" x14ac:dyDescent="0.3">
      <c r="A2" s="33" t="s">
        <v>312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</row>
    <row r="3" spans="1:37" x14ac:dyDescent="0.25">
      <c r="A3" s="5" t="s">
        <v>1</v>
      </c>
    </row>
    <row r="5" spans="1:37" x14ac:dyDescent="0.25">
      <c r="A5" s="5" t="s">
        <v>2</v>
      </c>
      <c r="B5" s="6"/>
    </row>
    <row r="6" spans="1:37" x14ac:dyDescent="0.25">
      <c r="A6" s="5" t="s">
        <v>3</v>
      </c>
      <c r="B6" s="6"/>
    </row>
    <row r="7" spans="1:37" x14ac:dyDescent="0.25">
      <c r="A7" s="5" t="s">
        <v>4</v>
      </c>
      <c r="B7" s="6"/>
    </row>
    <row r="8" spans="1:37" x14ac:dyDescent="0.25">
      <c r="A8" s="5" t="s">
        <v>5</v>
      </c>
      <c r="B8" s="6"/>
    </row>
    <row r="9" spans="1:37" x14ac:dyDescent="0.25">
      <c r="A9" s="5" t="s">
        <v>6</v>
      </c>
      <c r="B9" s="6"/>
    </row>
    <row r="10" spans="1:37" x14ac:dyDescent="0.25">
      <c r="A10" s="5" t="s">
        <v>7</v>
      </c>
      <c r="B10" s="6"/>
    </row>
    <row r="11" spans="1:37" x14ac:dyDescent="0.25">
      <c r="A11" s="5" t="s">
        <v>9</v>
      </c>
      <c r="B11" s="6"/>
    </row>
    <row r="12" spans="1:37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</row>
    <row r="13" spans="1:37" x14ac:dyDescent="0.25">
      <c r="A13" s="34" t="e">
        <f ca="1">_xll.SNL.Clients.Office.Excel.Functions.SPGTable($C$14:$AK$14,$B$17:$B$84,$C$15:$AK$15,"NA","Options:Curr=usd, ConvMethod=MIrecommended")</f>
        <v>#NAME?</v>
      </c>
    </row>
    <row r="14" spans="1:37" x14ac:dyDescent="0.25">
      <c r="A14" s="5"/>
      <c r="B14" s="5"/>
      <c r="C14" s="35">
        <v>4009384</v>
      </c>
      <c r="D14" s="35">
        <v>4009384</v>
      </c>
      <c r="E14" s="35">
        <v>4009384</v>
      </c>
      <c r="F14" s="35">
        <v>4009384</v>
      </c>
      <c r="G14" s="35">
        <v>4009384</v>
      </c>
      <c r="H14" s="35">
        <v>4009384</v>
      </c>
      <c r="I14" s="35">
        <v>4009384</v>
      </c>
      <c r="J14" s="35">
        <v>4009384</v>
      </c>
      <c r="K14" s="35">
        <v>4009384</v>
      </c>
      <c r="L14" s="35">
        <v>4009384</v>
      </c>
      <c r="M14" s="35">
        <v>4009384</v>
      </c>
      <c r="N14" s="35">
        <v>4009384</v>
      </c>
      <c r="O14" s="35">
        <v>4009384</v>
      </c>
      <c r="P14" s="35">
        <v>4009384</v>
      </c>
      <c r="Q14" s="35">
        <v>4009384</v>
      </c>
      <c r="R14" s="35">
        <v>4009384</v>
      </c>
      <c r="S14" s="35">
        <v>4009384</v>
      </c>
      <c r="T14" s="35">
        <v>4009384</v>
      </c>
      <c r="U14" s="35">
        <v>4009384</v>
      </c>
      <c r="V14" s="35">
        <v>4009384</v>
      </c>
      <c r="W14" s="35">
        <v>4009384</v>
      </c>
      <c r="X14" s="35">
        <v>4009384</v>
      </c>
      <c r="Y14" s="35">
        <v>4009384</v>
      </c>
      <c r="Z14" s="35">
        <v>4009384</v>
      </c>
      <c r="AA14" s="35">
        <v>4009384</v>
      </c>
      <c r="AB14" s="35">
        <v>4009384</v>
      </c>
      <c r="AC14" s="35">
        <v>4009384</v>
      </c>
      <c r="AD14" s="35">
        <v>4009384</v>
      </c>
      <c r="AE14" s="35">
        <v>4009384</v>
      </c>
      <c r="AF14" s="35">
        <v>4009384</v>
      </c>
      <c r="AG14" s="35">
        <v>4009384</v>
      </c>
      <c r="AH14" s="35">
        <v>4009384</v>
      </c>
      <c r="AI14" s="35">
        <v>4009384</v>
      </c>
      <c r="AJ14" s="35">
        <v>4009384</v>
      </c>
      <c r="AK14" s="35">
        <v>4009384</v>
      </c>
    </row>
    <row r="15" spans="1:37" x14ac:dyDescent="0.25">
      <c r="A15" s="6"/>
      <c r="B15" s="6"/>
      <c r="C15" s="14" t="s">
        <v>313</v>
      </c>
      <c r="D15" s="14" t="s">
        <v>314</v>
      </c>
      <c r="E15" s="14" t="s">
        <v>315</v>
      </c>
      <c r="F15" s="14" t="s">
        <v>316</v>
      </c>
      <c r="G15" s="14" t="s">
        <v>317</v>
      </c>
      <c r="H15" s="14" t="s">
        <v>318</v>
      </c>
      <c r="I15" s="14" t="s">
        <v>319</v>
      </c>
      <c r="J15" s="14" t="s">
        <v>320</v>
      </c>
      <c r="K15" s="14" t="s">
        <v>321</v>
      </c>
      <c r="L15" s="14" t="s">
        <v>322</v>
      </c>
      <c r="M15" s="14" t="s">
        <v>323</v>
      </c>
      <c r="N15" s="14" t="s">
        <v>324</v>
      </c>
      <c r="O15" s="14" t="s">
        <v>325</v>
      </c>
      <c r="P15" s="14" t="s">
        <v>326</v>
      </c>
      <c r="Q15" s="14" t="s">
        <v>327</v>
      </c>
      <c r="R15" s="14" t="s">
        <v>328</v>
      </c>
      <c r="S15" s="14" t="s">
        <v>329</v>
      </c>
      <c r="T15" s="14" t="s">
        <v>330</v>
      </c>
      <c r="U15" s="14" t="s">
        <v>331</v>
      </c>
      <c r="V15" s="14" t="s">
        <v>332</v>
      </c>
      <c r="W15" s="14" t="s">
        <v>333</v>
      </c>
      <c r="X15" s="14" t="s">
        <v>334</v>
      </c>
      <c r="Y15" s="14" t="s">
        <v>335</v>
      </c>
      <c r="Z15" s="14" t="s">
        <v>336</v>
      </c>
      <c r="AA15" s="14" t="s">
        <v>337</v>
      </c>
      <c r="AB15" s="14" t="s">
        <v>338</v>
      </c>
      <c r="AC15" s="14" t="s">
        <v>339</v>
      </c>
      <c r="AD15" s="14" t="s">
        <v>340</v>
      </c>
      <c r="AE15" s="14" t="s">
        <v>341</v>
      </c>
      <c r="AF15" s="14" t="s">
        <v>342</v>
      </c>
      <c r="AG15" s="14" t="s">
        <v>343</v>
      </c>
      <c r="AH15" s="14" t="s">
        <v>344</v>
      </c>
      <c r="AI15" s="14" t="s">
        <v>345</v>
      </c>
      <c r="AJ15" s="14" t="s">
        <v>346</v>
      </c>
      <c r="AK15" s="14" t="s">
        <v>347</v>
      </c>
    </row>
    <row r="16" spans="1:37" x14ac:dyDescent="0.25">
      <c r="A16" s="5"/>
      <c r="B16" s="5"/>
      <c r="C16" s="35" t="s">
        <v>52</v>
      </c>
      <c r="D16" s="35" t="s">
        <v>52</v>
      </c>
      <c r="E16" s="35" t="s">
        <v>52</v>
      </c>
      <c r="F16" s="35" t="s">
        <v>52</v>
      </c>
      <c r="G16" s="35" t="s">
        <v>52</v>
      </c>
      <c r="H16" s="35" t="s">
        <v>52</v>
      </c>
      <c r="I16" s="35" t="s">
        <v>52</v>
      </c>
      <c r="J16" s="35" t="s">
        <v>52</v>
      </c>
      <c r="K16" s="35" t="s">
        <v>52</v>
      </c>
      <c r="L16" s="35" t="s">
        <v>52</v>
      </c>
      <c r="M16" s="35" t="s">
        <v>52</v>
      </c>
      <c r="N16" s="35" t="s">
        <v>52</v>
      </c>
      <c r="O16" s="35" t="s">
        <v>52</v>
      </c>
      <c r="P16" s="35" t="s">
        <v>52</v>
      </c>
      <c r="Q16" s="35" t="s">
        <v>52</v>
      </c>
      <c r="R16" s="35" t="s">
        <v>52</v>
      </c>
      <c r="S16" s="35" t="s">
        <v>52</v>
      </c>
      <c r="T16" s="35" t="s">
        <v>52</v>
      </c>
      <c r="U16" s="35" t="s">
        <v>52</v>
      </c>
      <c r="V16" s="35" t="s">
        <v>52</v>
      </c>
      <c r="W16" s="35" t="s">
        <v>52</v>
      </c>
      <c r="X16" s="35" t="s">
        <v>52</v>
      </c>
      <c r="Y16" s="35" t="s">
        <v>52</v>
      </c>
      <c r="Z16" s="35" t="s">
        <v>52</v>
      </c>
      <c r="AA16" s="35" t="s">
        <v>52</v>
      </c>
      <c r="AB16" s="35" t="s">
        <v>52</v>
      </c>
      <c r="AC16" s="35" t="s">
        <v>52</v>
      </c>
      <c r="AD16" s="35" t="s">
        <v>52</v>
      </c>
      <c r="AE16" s="35" t="s">
        <v>52</v>
      </c>
      <c r="AF16" s="35" t="s">
        <v>52</v>
      </c>
      <c r="AG16" s="35" t="s">
        <v>52</v>
      </c>
      <c r="AH16" s="35" t="s">
        <v>52</v>
      </c>
      <c r="AI16" s="35" t="s">
        <v>52</v>
      </c>
      <c r="AJ16" s="35" t="s">
        <v>52</v>
      </c>
      <c r="AK16" s="35" t="s">
        <v>52</v>
      </c>
    </row>
    <row r="17" spans="1:37" x14ac:dyDescent="0.25">
      <c r="A17" s="5" t="s">
        <v>53</v>
      </c>
      <c r="B17" s="36">
        <v>275657</v>
      </c>
      <c r="C17" s="16">
        <v>33238</v>
      </c>
      <c r="D17" s="16">
        <v>33603</v>
      </c>
      <c r="E17" s="16">
        <v>33969</v>
      </c>
      <c r="F17" s="16">
        <v>34334</v>
      </c>
      <c r="G17" s="16">
        <v>34699</v>
      </c>
      <c r="H17" s="16">
        <v>35064</v>
      </c>
      <c r="I17" s="16">
        <v>35430</v>
      </c>
      <c r="J17" s="16">
        <v>35795</v>
      </c>
      <c r="K17" s="16">
        <v>36160</v>
      </c>
      <c r="L17" s="16">
        <v>36525</v>
      </c>
      <c r="M17" s="16">
        <v>36891</v>
      </c>
      <c r="N17" s="16">
        <v>37256</v>
      </c>
      <c r="O17" s="16">
        <v>37621</v>
      </c>
      <c r="P17" s="16">
        <v>37986</v>
      </c>
      <c r="Q17" s="16">
        <v>38352</v>
      </c>
      <c r="R17" s="16">
        <v>38717</v>
      </c>
      <c r="S17" s="16">
        <v>39082</v>
      </c>
      <c r="T17" s="16">
        <v>39447</v>
      </c>
      <c r="U17" s="16">
        <v>39813</v>
      </c>
      <c r="V17" s="16">
        <v>40178</v>
      </c>
      <c r="W17" s="16">
        <v>40543</v>
      </c>
      <c r="X17" s="16">
        <v>40908</v>
      </c>
      <c r="Y17" s="16">
        <v>41274</v>
      </c>
      <c r="Z17" s="16">
        <v>41639</v>
      </c>
      <c r="AA17" s="16">
        <v>42004</v>
      </c>
      <c r="AB17" s="16">
        <v>42369</v>
      </c>
      <c r="AC17" s="16">
        <v>42735</v>
      </c>
      <c r="AD17" s="16">
        <v>43100</v>
      </c>
      <c r="AE17" s="16">
        <v>43465</v>
      </c>
      <c r="AF17" s="16">
        <v>43830</v>
      </c>
      <c r="AG17" s="16">
        <v>44196</v>
      </c>
      <c r="AH17" s="16">
        <v>44561</v>
      </c>
      <c r="AI17" s="16">
        <v>44926</v>
      </c>
      <c r="AJ17" s="16">
        <v>45291</v>
      </c>
      <c r="AK17" s="16">
        <v>45657</v>
      </c>
    </row>
    <row r="18" spans="1:37" x14ac:dyDescent="0.25">
      <c r="A18" s="5" t="s">
        <v>54</v>
      </c>
      <c r="B18" s="36">
        <v>309159</v>
      </c>
      <c r="C18" s="16">
        <v>34029</v>
      </c>
      <c r="D18" s="16">
        <v>34408</v>
      </c>
      <c r="E18" s="16">
        <v>34778</v>
      </c>
      <c r="F18" s="16">
        <v>35130</v>
      </c>
      <c r="G18" s="16">
        <v>35496</v>
      </c>
      <c r="H18" s="16">
        <v>35858</v>
      </c>
      <c r="I18" s="16">
        <v>36227</v>
      </c>
      <c r="J18" s="16">
        <v>36598</v>
      </c>
      <c r="K18" s="16">
        <v>36962</v>
      </c>
      <c r="L18" s="16">
        <v>37334</v>
      </c>
      <c r="M18" s="16">
        <v>37690</v>
      </c>
      <c r="N18" s="16">
        <v>38042</v>
      </c>
      <c r="O18" s="16">
        <v>38408</v>
      </c>
      <c r="P18" s="16">
        <v>38776</v>
      </c>
      <c r="Q18" s="16">
        <v>39140</v>
      </c>
      <c r="R18" s="16">
        <v>39505</v>
      </c>
      <c r="S18" s="16">
        <v>39868</v>
      </c>
      <c r="T18" s="16">
        <v>40233</v>
      </c>
      <c r="U18" s="16">
        <v>40596</v>
      </c>
      <c r="V18" s="16">
        <v>40967</v>
      </c>
      <c r="W18" s="16">
        <v>41320</v>
      </c>
      <c r="X18" s="16">
        <v>41695</v>
      </c>
      <c r="Y18" s="16">
        <v>42059</v>
      </c>
      <c r="Z18" s="16">
        <v>42429</v>
      </c>
      <c r="AA18" s="16">
        <v>42794</v>
      </c>
      <c r="AB18" s="16">
        <v>43152</v>
      </c>
      <c r="AC18" s="16">
        <v>43511</v>
      </c>
      <c r="AD18" s="16">
        <v>43875</v>
      </c>
      <c r="AE18" s="16">
        <v>44239</v>
      </c>
      <c r="AF18" s="16">
        <v>44603</v>
      </c>
      <c r="AG18" s="16">
        <v>44960</v>
      </c>
      <c r="AH18" s="16">
        <v>45324</v>
      </c>
      <c r="AI18" s="16">
        <v>45688</v>
      </c>
      <c r="AJ18" s="16">
        <v>45688</v>
      </c>
      <c r="AK18" s="16">
        <v>45688</v>
      </c>
    </row>
    <row r="19" spans="1:37" x14ac:dyDescent="0.25">
      <c r="A19" s="5" t="s">
        <v>55</v>
      </c>
      <c r="B19" s="36">
        <v>275660</v>
      </c>
      <c r="C19" s="18">
        <v>1</v>
      </c>
      <c r="D19" s="18">
        <v>1</v>
      </c>
      <c r="E19" s="18">
        <v>1</v>
      </c>
      <c r="F19" s="18">
        <v>1</v>
      </c>
      <c r="G19" s="18">
        <v>1</v>
      </c>
      <c r="H19" s="18">
        <v>1</v>
      </c>
      <c r="I19" s="18">
        <v>1</v>
      </c>
      <c r="J19" s="18">
        <v>1</v>
      </c>
      <c r="K19" s="18">
        <v>1</v>
      </c>
      <c r="L19" s="18">
        <v>1</v>
      </c>
      <c r="M19" s="18">
        <v>1</v>
      </c>
      <c r="N19" s="18">
        <v>1</v>
      </c>
      <c r="O19" s="18">
        <v>1</v>
      </c>
      <c r="P19" s="18">
        <v>1</v>
      </c>
      <c r="Q19" s="18">
        <v>1</v>
      </c>
      <c r="R19" s="18">
        <v>1</v>
      </c>
      <c r="S19" s="18">
        <v>1</v>
      </c>
      <c r="T19" s="18">
        <v>1</v>
      </c>
      <c r="U19" s="18">
        <v>1</v>
      </c>
      <c r="V19" s="18">
        <v>1</v>
      </c>
      <c r="W19" s="18">
        <v>1</v>
      </c>
      <c r="X19" s="18">
        <v>1</v>
      </c>
      <c r="Y19" s="18">
        <v>1</v>
      </c>
      <c r="Z19" s="18">
        <v>1</v>
      </c>
      <c r="AA19" s="18">
        <v>1</v>
      </c>
      <c r="AB19" s="18">
        <v>1</v>
      </c>
      <c r="AC19" s="18">
        <v>1</v>
      </c>
      <c r="AD19" s="18">
        <v>1</v>
      </c>
      <c r="AE19" s="18">
        <v>1</v>
      </c>
      <c r="AF19" s="18">
        <v>1</v>
      </c>
      <c r="AG19" s="18">
        <v>1</v>
      </c>
      <c r="AH19" s="18">
        <v>1</v>
      </c>
      <c r="AI19" s="18">
        <v>1</v>
      </c>
      <c r="AJ19" s="18">
        <v>1</v>
      </c>
      <c r="AK19" s="18">
        <v>1</v>
      </c>
    </row>
    <row r="20" spans="1:37" x14ac:dyDescent="0.25">
      <c r="A20" s="5" t="s">
        <v>56</v>
      </c>
      <c r="B20" s="36">
        <v>275661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</row>
    <row r="21" spans="1:37" x14ac:dyDescent="0.25">
      <c r="A21" s="5" t="s">
        <v>51</v>
      </c>
      <c r="B21" s="3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spans="1:37" x14ac:dyDescent="0.25">
      <c r="A22" s="20" t="s">
        <v>348</v>
      </c>
      <c r="B22" s="3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spans="1:37" x14ac:dyDescent="0.25">
      <c r="A23" s="5" t="s">
        <v>349</v>
      </c>
      <c r="B23" s="36">
        <v>268525</v>
      </c>
      <c r="C23" s="14" t="s">
        <v>163</v>
      </c>
      <c r="D23" s="21">
        <v>79000</v>
      </c>
      <c r="E23" s="21">
        <v>22000</v>
      </c>
      <c r="F23" s="21">
        <v>79000</v>
      </c>
      <c r="G23" s="21">
        <v>20000</v>
      </c>
      <c r="H23" s="21">
        <v>52000</v>
      </c>
      <c r="I23" s="21">
        <v>23000</v>
      </c>
      <c r="J23" s="21">
        <v>18000</v>
      </c>
      <c r="K23" s="21">
        <v>9000</v>
      </c>
      <c r="L23" s="21">
        <v>22000</v>
      </c>
      <c r="M23" s="21">
        <v>219000</v>
      </c>
      <c r="N23" s="21">
        <v>147000</v>
      </c>
      <c r="O23" s="21">
        <v>243000</v>
      </c>
      <c r="P23" s="21">
        <v>316000</v>
      </c>
      <c r="Q23" s="21">
        <v>1037000</v>
      </c>
      <c r="R23" s="21">
        <v>1479000</v>
      </c>
      <c r="S23" s="21">
        <v>1422000</v>
      </c>
      <c r="T23" s="21">
        <v>401000</v>
      </c>
      <c r="U23" s="21">
        <v>724000</v>
      </c>
      <c r="V23" s="21">
        <v>1218000</v>
      </c>
      <c r="W23" s="21">
        <v>578000</v>
      </c>
      <c r="X23" s="21">
        <v>408000</v>
      </c>
      <c r="Y23" s="21">
        <v>570000</v>
      </c>
      <c r="Z23" s="21">
        <v>604000</v>
      </c>
      <c r="AA23" s="21">
        <v>1354000</v>
      </c>
      <c r="AB23" s="21">
        <v>755000</v>
      </c>
      <c r="AC23" s="21">
        <v>1515000</v>
      </c>
      <c r="AD23" s="21">
        <v>1553000</v>
      </c>
      <c r="AE23" s="21">
        <v>1000000</v>
      </c>
      <c r="AF23" s="21">
        <v>749000</v>
      </c>
      <c r="AG23" s="21">
        <v>1985000</v>
      </c>
      <c r="AH23" s="21">
        <v>2522000</v>
      </c>
      <c r="AI23" s="21">
        <v>3504000</v>
      </c>
      <c r="AJ23" s="21">
        <v>2948000</v>
      </c>
      <c r="AK23" s="21">
        <v>1367000</v>
      </c>
    </row>
    <row r="24" spans="1:37" x14ac:dyDescent="0.25">
      <c r="A24" s="5" t="s">
        <v>350</v>
      </c>
      <c r="B24" s="36">
        <v>268541</v>
      </c>
      <c r="C24" s="14" t="s">
        <v>163</v>
      </c>
      <c r="D24" s="21">
        <v>2797000</v>
      </c>
      <c r="E24" s="21">
        <v>2809000</v>
      </c>
      <c r="F24" s="21">
        <v>2653000</v>
      </c>
      <c r="G24" s="21">
        <v>2536000</v>
      </c>
      <c r="H24" s="21">
        <v>2512000</v>
      </c>
      <c r="I24" s="21">
        <v>2551000</v>
      </c>
      <c r="J24" s="21">
        <v>2496000</v>
      </c>
      <c r="K24" s="21">
        <v>2500000</v>
      </c>
      <c r="L24" s="21">
        <v>2516000</v>
      </c>
      <c r="M24" s="21">
        <v>2739000</v>
      </c>
      <c r="N24" s="21">
        <v>3084000</v>
      </c>
      <c r="O24" s="21">
        <v>2978000</v>
      </c>
      <c r="P24" s="21">
        <v>3414000</v>
      </c>
      <c r="Q24" s="21">
        <v>3627000</v>
      </c>
      <c r="R24" s="21">
        <v>4015000</v>
      </c>
      <c r="S24" s="21">
        <v>4429000</v>
      </c>
      <c r="T24" s="21">
        <v>6688000</v>
      </c>
      <c r="U24" s="21">
        <v>6676000</v>
      </c>
      <c r="V24" s="21">
        <v>6820000</v>
      </c>
      <c r="W24" s="21">
        <v>6486000</v>
      </c>
      <c r="X24" s="21">
        <v>6579000</v>
      </c>
      <c r="Y24" s="21">
        <v>6408000</v>
      </c>
      <c r="Z24" s="21">
        <v>5922000</v>
      </c>
      <c r="AA24" s="21">
        <v>4574000</v>
      </c>
      <c r="AB24" s="21">
        <v>4411000</v>
      </c>
      <c r="AC24" s="21">
        <v>3979000</v>
      </c>
      <c r="AD24" s="21">
        <v>4280000</v>
      </c>
      <c r="AE24" s="21">
        <v>4865000</v>
      </c>
      <c r="AF24" s="21">
        <v>5677000</v>
      </c>
      <c r="AG24" s="21">
        <v>5658000</v>
      </c>
      <c r="AH24" s="21">
        <v>7439000</v>
      </c>
      <c r="AI24" s="21">
        <v>8638000</v>
      </c>
      <c r="AJ24" s="21">
        <v>10502000</v>
      </c>
      <c r="AK24" s="21">
        <v>12045000</v>
      </c>
    </row>
    <row r="25" spans="1:37" x14ac:dyDescent="0.25">
      <c r="A25" s="5" t="s">
        <v>183</v>
      </c>
      <c r="B25" s="36">
        <v>268552</v>
      </c>
      <c r="C25" s="14" t="s">
        <v>163</v>
      </c>
      <c r="D25" s="21">
        <v>5627000</v>
      </c>
      <c r="E25" s="21">
        <v>6251000</v>
      </c>
      <c r="F25" s="21">
        <v>6629000</v>
      </c>
      <c r="G25" s="21">
        <v>6480000</v>
      </c>
      <c r="H25" s="21">
        <v>6521000</v>
      </c>
      <c r="I25" s="21">
        <v>6580000</v>
      </c>
      <c r="J25" s="21">
        <v>6694000</v>
      </c>
      <c r="K25" s="21">
        <v>6749000</v>
      </c>
      <c r="L25" s="21">
        <v>7525000</v>
      </c>
      <c r="M25" s="21">
        <v>8711000</v>
      </c>
      <c r="N25" s="21">
        <v>8337000</v>
      </c>
      <c r="O25" s="21">
        <v>7977000</v>
      </c>
      <c r="P25" s="21">
        <v>7837000</v>
      </c>
      <c r="Q25" s="21">
        <v>11064000</v>
      </c>
      <c r="R25" s="21">
        <v>9822000</v>
      </c>
      <c r="S25" s="21">
        <v>10586000</v>
      </c>
      <c r="T25" s="21">
        <v>15632000</v>
      </c>
      <c r="U25" s="21">
        <v>16087000</v>
      </c>
      <c r="V25" s="21">
        <v>15422000</v>
      </c>
      <c r="W25" s="21">
        <v>15350000</v>
      </c>
      <c r="X25" s="21">
        <v>16073000</v>
      </c>
      <c r="Y25" s="21">
        <v>15217000</v>
      </c>
      <c r="Z25" s="21">
        <v>13143000</v>
      </c>
      <c r="AA25" s="21">
        <v>12013000</v>
      </c>
      <c r="AB25" s="21">
        <v>9167000</v>
      </c>
      <c r="AC25" s="21">
        <v>9160000</v>
      </c>
      <c r="AD25" s="21">
        <v>9862000</v>
      </c>
      <c r="AE25" s="21">
        <v>10982000</v>
      </c>
      <c r="AF25" s="21">
        <v>11608000</v>
      </c>
      <c r="AG25" s="21">
        <v>12059000</v>
      </c>
      <c r="AH25" s="21">
        <v>17816000</v>
      </c>
      <c r="AI25" s="21">
        <v>19458000</v>
      </c>
      <c r="AJ25" s="21">
        <v>20451000</v>
      </c>
      <c r="AK25" s="21">
        <v>20235000</v>
      </c>
    </row>
    <row r="26" spans="1:37" x14ac:dyDescent="0.25">
      <c r="A26" s="5" t="s">
        <v>220</v>
      </c>
      <c r="B26" s="36">
        <v>268593</v>
      </c>
      <c r="C26" s="14" t="s">
        <v>163</v>
      </c>
      <c r="D26" s="21">
        <v>1963000</v>
      </c>
      <c r="E26" s="21">
        <v>2252000</v>
      </c>
      <c r="F26" s="21">
        <v>1483000</v>
      </c>
      <c r="G26" s="21">
        <v>1433000</v>
      </c>
      <c r="H26" s="21">
        <v>972000</v>
      </c>
      <c r="I26" s="21">
        <v>1082000</v>
      </c>
      <c r="J26" s="21">
        <v>687000</v>
      </c>
      <c r="K26" s="21">
        <v>662000</v>
      </c>
      <c r="L26" s="21">
        <v>1076000</v>
      </c>
      <c r="M26" s="21">
        <v>2409000</v>
      </c>
      <c r="N26" s="21">
        <v>1319000</v>
      </c>
      <c r="O26" s="21">
        <v>1191000</v>
      </c>
      <c r="P26" s="21">
        <v>1617000</v>
      </c>
      <c r="Q26" s="21">
        <v>334000</v>
      </c>
      <c r="R26" s="21">
        <v>133000</v>
      </c>
      <c r="S26" s="21">
        <v>-397000</v>
      </c>
      <c r="T26" s="21">
        <v>2856000</v>
      </c>
      <c r="U26" s="21">
        <v>2421000</v>
      </c>
      <c r="V26" s="21">
        <v>2146000</v>
      </c>
      <c r="W26" s="21">
        <v>3155000</v>
      </c>
      <c r="X26" s="21">
        <v>3820000</v>
      </c>
      <c r="Y26" s="21">
        <v>3368000</v>
      </c>
      <c r="Z26" s="21">
        <v>3335000</v>
      </c>
      <c r="AA26" s="21">
        <v>2144000</v>
      </c>
      <c r="AB26" s="21">
        <v>2383000</v>
      </c>
      <c r="AC26" s="21">
        <v>1516000</v>
      </c>
      <c r="AD26" s="21">
        <v>1150000</v>
      </c>
      <c r="AE26" s="21">
        <v>1381000</v>
      </c>
      <c r="AF26" s="21">
        <v>3129000</v>
      </c>
      <c r="AG26" s="21">
        <v>3124000</v>
      </c>
      <c r="AH26" s="21">
        <v>1563000</v>
      </c>
      <c r="AI26" s="21">
        <v>627000</v>
      </c>
      <c r="AJ26" s="21">
        <v>1391000</v>
      </c>
      <c r="AK26" s="21">
        <v>2885000</v>
      </c>
    </row>
    <row r="27" spans="1:37" x14ac:dyDescent="0.25">
      <c r="A27" s="5" t="s">
        <v>219</v>
      </c>
      <c r="B27" s="36">
        <v>274444</v>
      </c>
      <c r="C27" s="14" t="s">
        <v>163</v>
      </c>
      <c r="D27" s="21">
        <v>2042000</v>
      </c>
      <c r="E27" s="21">
        <v>2274000</v>
      </c>
      <c r="F27" s="21">
        <v>1562000</v>
      </c>
      <c r="G27" s="21">
        <v>1453000</v>
      </c>
      <c r="H27" s="21">
        <v>1024000</v>
      </c>
      <c r="I27" s="21">
        <v>1105000</v>
      </c>
      <c r="J27" s="21">
        <v>705000</v>
      </c>
      <c r="K27" s="21">
        <v>671000</v>
      </c>
      <c r="L27" s="21">
        <v>1098000</v>
      </c>
      <c r="M27" s="21">
        <v>2628000</v>
      </c>
      <c r="N27" s="21">
        <v>1466000</v>
      </c>
      <c r="O27" s="21">
        <v>1434000</v>
      </c>
      <c r="P27" s="21">
        <v>1933000</v>
      </c>
      <c r="Q27" s="21">
        <v>1371000</v>
      </c>
      <c r="R27" s="21">
        <v>1612000</v>
      </c>
      <c r="S27" s="21">
        <v>1025000</v>
      </c>
      <c r="T27" s="21">
        <v>3257000</v>
      </c>
      <c r="U27" s="21">
        <v>3145000</v>
      </c>
      <c r="V27" s="21">
        <v>3364000</v>
      </c>
      <c r="W27" s="21">
        <v>3733000</v>
      </c>
      <c r="X27" s="21">
        <v>4228000</v>
      </c>
      <c r="Y27" s="21">
        <v>3938000</v>
      </c>
      <c r="Z27" s="21">
        <v>3939000</v>
      </c>
      <c r="AA27" s="21">
        <v>3498000</v>
      </c>
      <c r="AB27" s="21">
        <v>3138000</v>
      </c>
      <c r="AC27" s="21">
        <v>3031000</v>
      </c>
      <c r="AD27" s="21">
        <v>2703000</v>
      </c>
      <c r="AE27" s="21">
        <v>2381000</v>
      </c>
      <c r="AF27" s="21">
        <v>3878000</v>
      </c>
      <c r="AG27" s="21">
        <v>5109000</v>
      </c>
      <c r="AH27" s="21">
        <v>4085000</v>
      </c>
      <c r="AI27" s="21">
        <v>4131000</v>
      </c>
      <c r="AJ27" s="21">
        <v>4339000</v>
      </c>
      <c r="AK27" s="21">
        <v>4252000</v>
      </c>
    </row>
    <row r="28" spans="1:37" x14ac:dyDescent="0.25">
      <c r="A28" s="5" t="s">
        <v>351</v>
      </c>
      <c r="B28" s="36">
        <v>268578</v>
      </c>
      <c r="C28" s="14" t="s">
        <v>163</v>
      </c>
      <c r="D28" s="21">
        <v>25000</v>
      </c>
      <c r="E28" s="21">
        <v>25000</v>
      </c>
      <c r="F28" s="21">
        <v>32000</v>
      </c>
      <c r="G28" s="21">
        <v>32000</v>
      </c>
      <c r="H28" s="21">
        <v>7000</v>
      </c>
      <c r="I28" s="21">
        <v>7000</v>
      </c>
      <c r="J28" s="21">
        <v>3000</v>
      </c>
      <c r="K28" s="21">
        <v>3000</v>
      </c>
      <c r="L28" s="21">
        <v>3000</v>
      </c>
      <c r="M28" s="14" t="s">
        <v>163</v>
      </c>
      <c r="N28" s="14" t="s">
        <v>163</v>
      </c>
      <c r="O28" s="14" t="s">
        <v>163</v>
      </c>
      <c r="P28" s="21">
        <v>226000</v>
      </c>
      <c r="Q28" s="21">
        <v>216000</v>
      </c>
      <c r="R28" s="21">
        <v>216000</v>
      </c>
      <c r="S28" s="14" t="s">
        <v>163</v>
      </c>
      <c r="T28" s="14" t="s">
        <v>163</v>
      </c>
      <c r="U28" s="14" t="s">
        <v>163</v>
      </c>
      <c r="V28" s="14" t="s">
        <v>163</v>
      </c>
      <c r="W28" s="14" t="s">
        <v>163</v>
      </c>
      <c r="X28" s="14" t="s">
        <v>163</v>
      </c>
      <c r="Y28" s="14" t="s">
        <v>163</v>
      </c>
      <c r="Z28" s="14" t="s">
        <v>163</v>
      </c>
      <c r="AA28" s="14" t="s">
        <v>163</v>
      </c>
      <c r="AB28" s="14" t="s">
        <v>163</v>
      </c>
      <c r="AC28" s="14" t="s">
        <v>163</v>
      </c>
      <c r="AD28" s="14" t="s">
        <v>163</v>
      </c>
      <c r="AE28" s="14" t="s">
        <v>163</v>
      </c>
      <c r="AF28" s="14" t="s">
        <v>163</v>
      </c>
      <c r="AG28" s="14" t="s">
        <v>163</v>
      </c>
      <c r="AH28" s="14" t="s">
        <v>163</v>
      </c>
      <c r="AI28" s="14" t="s">
        <v>163</v>
      </c>
      <c r="AJ28" s="14" t="s">
        <v>163</v>
      </c>
      <c r="AK28" s="14" t="s">
        <v>163</v>
      </c>
    </row>
    <row r="29" spans="1:37" x14ac:dyDescent="0.25">
      <c r="A29" s="5" t="s">
        <v>352</v>
      </c>
      <c r="B29" s="36">
        <v>268583</v>
      </c>
      <c r="C29" s="14" t="s">
        <v>163</v>
      </c>
      <c r="D29" s="21">
        <v>1667000</v>
      </c>
      <c r="E29" s="21">
        <v>222000</v>
      </c>
      <c r="F29" s="21">
        <v>585000</v>
      </c>
      <c r="G29" s="21">
        <v>913000</v>
      </c>
      <c r="H29" s="21">
        <v>1337000</v>
      </c>
      <c r="I29" s="21">
        <v>1559000</v>
      </c>
      <c r="J29" s="21">
        <v>1779000</v>
      </c>
      <c r="K29" s="21">
        <v>2090000</v>
      </c>
      <c r="L29" s="21">
        <v>2053000</v>
      </c>
      <c r="M29" s="21">
        <v>1919000</v>
      </c>
      <c r="N29" s="21">
        <v>2506000</v>
      </c>
      <c r="O29" s="21">
        <v>2027000</v>
      </c>
      <c r="P29" s="21">
        <v>867000</v>
      </c>
      <c r="Q29" s="21">
        <v>3858000</v>
      </c>
      <c r="R29" s="21">
        <v>3108000</v>
      </c>
      <c r="S29" s="21">
        <v>4365000</v>
      </c>
      <c r="T29" s="21">
        <v>5531000</v>
      </c>
      <c r="U29" s="21">
        <v>4895000</v>
      </c>
      <c r="V29" s="21">
        <v>4676000</v>
      </c>
      <c r="W29" s="21">
        <v>3851000</v>
      </c>
      <c r="X29" s="21">
        <v>3500000</v>
      </c>
      <c r="Y29" s="21">
        <v>3477000</v>
      </c>
      <c r="Z29" s="21">
        <v>3375000</v>
      </c>
      <c r="AA29" s="21">
        <v>3799000</v>
      </c>
      <c r="AB29" s="21">
        <v>2436000</v>
      </c>
      <c r="AC29" s="21">
        <v>2274000</v>
      </c>
      <c r="AD29" s="21">
        <v>3320000</v>
      </c>
      <c r="AE29" s="21">
        <v>4202000</v>
      </c>
      <c r="AF29" s="21">
        <v>4092000</v>
      </c>
      <c r="AG29" s="21">
        <v>3786000</v>
      </c>
      <c r="AH29" s="21">
        <v>9010000</v>
      </c>
      <c r="AI29" s="21">
        <v>10218000</v>
      </c>
      <c r="AJ29" s="21">
        <v>11047000</v>
      </c>
      <c r="AK29" s="21">
        <v>11347000</v>
      </c>
    </row>
    <row r="30" spans="1:37" x14ac:dyDescent="0.25">
      <c r="A30" s="5" t="s">
        <v>210</v>
      </c>
      <c r="B30" s="36">
        <v>268584</v>
      </c>
      <c r="C30" s="14" t="s">
        <v>163</v>
      </c>
      <c r="D30" s="14" t="s">
        <v>163</v>
      </c>
      <c r="E30" s="14" t="s">
        <v>163</v>
      </c>
      <c r="F30" s="14" t="s">
        <v>163</v>
      </c>
      <c r="G30" s="21">
        <v>64000</v>
      </c>
      <c r="H30" s="21">
        <v>64000</v>
      </c>
      <c r="I30" s="21">
        <v>64000</v>
      </c>
      <c r="J30" s="21">
        <v>66000</v>
      </c>
      <c r="K30" s="21">
        <v>66000</v>
      </c>
      <c r="L30" s="21">
        <v>66000</v>
      </c>
      <c r="M30" s="21">
        <v>66000</v>
      </c>
      <c r="N30" s="14" t="s">
        <v>163</v>
      </c>
      <c r="O30" s="14" t="s">
        <v>163</v>
      </c>
      <c r="P30" s="21">
        <v>2000</v>
      </c>
      <c r="Q30" s="21">
        <v>28000</v>
      </c>
      <c r="R30" s="21">
        <v>32000</v>
      </c>
      <c r="S30" s="21">
        <v>38000</v>
      </c>
      <c r="T30" s="21">
        <v>88000</v>
      </c>
      <c r="U30" s="21">
        <v>164000</v>
      </c>
      <c r="V30" s="21">
        <v>303000</v>
      </c>
      <c r="W30" s="21">
        <v>1000</v>
      </c>
      <c r="X30" s="21">
        <v>1000</v>
      </c>
      <c r="Y30" s="21">
        <v>1000</v>
      </c>
      <c r="Z30" s="21">
        <v>1000</v>
      </c>
      <c r="AA30" s="21">
        <v>1000</v>
      </c>
      <c r="AB30" s="21">
        <v>1000</v>
      </c>
      <c r="AC30" s="21">
        <v>1000</v>
      </c>
      <c r="AD30" s="21">
        <v>1000</v>
      </c>
      <c r="AE30" s="21">
        <v>1000</v>
      </c>
      <c r="AF30" s="21">
        <v>1000</v>
      </c>
      <c r="AG30" s="21">
        <v>93000</v>
      </c>
      <c r="AH30" s="21">
        <v>93000</v>
      </c>
      <c r="AI30" s="21">
        <v>93000</v>
      </c>
      <c r="AJ30" s="21">
        <v>93000</v>
      </c>
      <c r="AK30" s="21">
        <v>93000</v>
      </c>
    </row>
    <row r="31" spans="1:37" x14ac:dyDescent="0.25">
      <c r="A31" s="5" t="s">
        <v>211</v>
      </c>
      <c r="B31" s="36">
        <v>268585</v>
      </c>
      <c r="C31" s="14" t="s">
        <v>163</v>
      </c>
      <c r="D31" s="21">
        <v>1692000</v>
      </c>
      <c r="E31" s="21">
        <v>247000</v>
      </c>
      <c r="F31" s="21">
        <v>617000</v>
      </c>
      <c r="G31" s="21">
        <v>1009000</v>
      </c>
      <c r="H31" s="21">
        <v>1408000</v>
      </c>
      <c r="I31" s="21">
        <v>1630000</v>
      </c>
      <c r="J31" s="21">
        <v>1848000</v>
      </c>
      <c r="K31" s="21">
        <v>2159000</v>
      </c>
      <c r="L31" s="21">
        <v>2122000</v>
      </c>
      <c r="M31" s="21">
        <v>1985000</v>
      </c>
      <c r="N31" s="21">
        <v>2506000</v>
      </c>
      <c r="O31" s="21">
        <v>2027000</v>
      </c>
      <c r="P31" s="21">
        <v>1095000</v>
      </c>
      <c r="Q31" s="21">
        <v>4102000</v>
      </c>
      <c r="R31" s="21">
        <v>3356000</v>
      </c>
      <c r="S31" s="21">
        <v>4403000</v>
      </c>
      <c r="T31" s="21">
        <v>5619000</v>
      </c>
      <c r="U31" s="21">
        <v>5059000</v>
      </c>
      <c r="V31" s="21">
        <v>4979000</v>
      </c>
      <c r="W31" s="21">
        <v>3852000</v>
      </c>
      <c r="X31" s="21">
        <v>3501000</v>
      </c>
      <c r="Y31" s="21">
        <v>3478000</v>
      </c>
      <c r="Z31" s="21">
        <v>3376000</v>
      </c>
      <c r="AA31" s="21">
        <v>3800000</v>
      </c>
      <c r="AB31" s="21">
        <v>2437000</v>
      </c>
      <c r="AC31" s="21">
        <v>2275000</v>
      </c>
      <c r="AD31" s="21">
        <v>3321000</v>
      </c>
      <c r="AE31" s="21">
        <v>4203000</v>
      </c>
      <c r="AF31" s="21">
        <v>4093000</v>
      </c>
      <c r="AG31" s="21">
        <v>3879000</v>
      </c>
      <c r="AH31" s="21">
        <v>9103000</v>
      </c>
      <c r="AI31" s="21">
        <v>10311000</v>
      </c>
      <c r="AJ31" s="21">
        <v>11140000</v>
      </c>
      <c r="AK31" s="21">
        <v>11440000</v>
      </c>
    </row>
    <row r="32" spans="1:37" x14ac:dyDescent="0.25">
      <c r="A32" s="5" t="s">
        <v>353</v>
      </c>
      <c r="B32" s="36">
        <v>274464</v>
      </c>
      <c r="C32" s="14" t="s">
        <v>163</v>
      </c>
      <c r="D32" s="28">
        <v>1.083</v>
      </c>
      <c r="E32" s="28">
        <v>1.046</v>
      </c>
      <c r="F32" s="28">
        <v>0.96199999999999997</v>
      </c>
      <c r="G32" s="28">
        <v>1.405</v>
      </c>
      <c r="H32" s="28">
        <v>0.95099999999999996</v>
      </c>
      <c r="I32" s="28">
        <v>1.099</v>
      </c>
      <c r="J32" s="28">
        <v>1.1479999999999999</v>
      </c>
      <c r="K32" s="28">
        <v>1.2549999999999999</v>
      </c>
      <c r="L32" s="28">
        <v>1.5429999999999999</v>
      </c>
      <c r="M32" s="28">
        <v>1.9530000000000001</v>
      </c>
      <c r="N32" s="28">
        <v>1.6479999999999999</v>
      </c>
      <c r="O32" s="28">
        <v>1.778</v>
      </c>
      <c r="P32" s="28">
        <v>1.46</v>
      </c>
      <c r="Q32" s="28">
        <v>1.716</v>
      </c>
      <c r="R32" s="28">
        <v>1.7609999999999999</v>
      </c>
      <c r="S32" s="28">
        <v>1.923</v>
      </c>
      <c r="T32" s="28">
        <v>1.651</v>
      </c>
      <c r="U32" s="28">
        <v>2.0630000000000002</v>
      </c>
      <c r="V32" s="28">
        <v>2.0270000000000001</v>
      </c>
      <c r="W32" s="28">
        <v>1.6850000000000001</v>
      </c>
      <c r="X32" s="28">
        <v>1.5820000000000001</v>
      </c>
      <c r="Y32" s="28">
        <v>1.8380000000000001</v>
      </c>
      <c r="Z32" s="28">
        <v>1.873</v>
      </c>
      <c r="AA32" s="28">
        <v>1.633</v>
      </c>
      <c r="AB32" s="28">
        <v>1.8240000000000001</v>
      </c>
      <c r="AC32" s="28">
        <v>1.869</v>
      </c>
      <c r="AD32" s="28">
        <v>1.7150000000000001</v>
      </c>
      <c r="AE32" s="28">
        <v>1.5109999999999999</v>
      </c>
      <c r="AF32" s="28">
        <v>1.4530000000000001</v>
      </c>
      <c r="AG32" s="28">
        <v>1.669</v>
      </c>
      <c r="AH32" s="28">
        <v>1.857</v>
      </c>
      <c r="AI32" s="28">
        <v>1.9870000000000001</v>
      </c>
      <c r="AJ32" s="28">
        <v>1.7589999999999999</v>
      </c>
      <c r="AK32" s="28">
        <v>1.5509999999999999</v>
      </c>
    </row>
    <row r="33" spans="1:37" x14ac:dyDescent="0.25">
      <c r="A33" s="5" t="s">
        <v>354</v>
      </c>
      <c r="B33" s="36">
        <v>274465</v>
      </c>
      <c r="C33" s="14" t="s">
        <v>163</v>
      </c>
      <c r="D33" s="28">
        <v>0.55700000000000005</v>
      </c>
      <c r="E33" s="28">
        <v>0.371</v>
      </c>
      <c r="F33" s="28">
        <v>0.41599999999999998</v>
      </c>
      <c r="G33" s="28">
        <v>0.58099999999999996</v>
      </c>
      <c r="H33" s="28">
        <v>0.438</v>
      </c>
      <c r="I33" s="28">
        <v>0.46400000000000002</v>
      </c>
      <c r="J33" s="28">
        <v>0.45400000000000001</v>
      </c>
      <c r="K33" s="28">
        <v>0.39500000000000002</v>
      </c>
      <c r="L33" s="28">
        <v>0.745</v>
      </c>
      <c r="M33" s="28">
        <v>1.121</v>
      </c>
      <c r="N33" s="28">
        <v>0.77700000000000002</v>
      </c>
      <c r="O33" s="28">
        <v>0.85799999999999998</v>
      </c>
      <c r="P33" s="28">
        <v>0.72199999999999998</v>
      </c>
      <c r="Q33" s="28">
        <v>1.107</v>
      </c>
      <c r="R33" s="28">
        <v>1.123</v>
      </c>
      <c r="S33" s="28">
        <v>1.1919999999999999</v>
      </c>
      <c r="T33" s="28">
        <v>0.82499999999999996</v>
      </c>
      <c r="U33" s="28">
        <v>1.0840000000000001</v>
      </c>
      <c r="V33" s="28">
        <v>1.212</v>
      </c>
      <c r="W33" s="28">
        <v>0.88200000000000001</v>
      </c>
      <c r="X33" s="28">
        <v>0.67400000000000004</v>
      </c>
      <c r="Y33" s="28">
        <v>0.89</v>
      </c>
      <c r="Z33" s="28">
        <v>0.85199999999999998</v>
      </c>
      <c r="AA33" s="28">
        <v>0.91500000000000004</v>
      </c>
      <c r="AB33" s="28">
        <v>0.84499999999999997</v>
      </c>
      <c r="AC33" s="28">
        <v>1.181</v>
      </c>
      <c r="AD33" s="28">
        <v>1.052</v>
      </c>
      <c r="AE33" s="28">
        <v>0.82699999999999996</v>
      </c>
      <c r="AF33" s="28">
        <v>0.73299999999999998</v>
      </c>
      <c r="AG33" s="28">
        <v>1.1200000000000001</v>
      </c>
      <c r="AH33" s="28">
        <v>1.1850000000000001</v>
      </c>
      <c r="AI33" s="28">
        <v>1.298</v>
      </c>
      <c r="AJ33" s="28">
        <v>1.1379999999999999</v>
      </c>
      <c r="AK33" s="28">
        <v>0.80800000000000005</v>
      </c>
    </row>
    <row r="34" spans="1:37" x14ac:dyDescent="0.25">
      <c r="A34" s="5" t="s">
        <v>355</v>
      </c>
      <c r="B34" s="36">
        <v>274466</v>
      </c>
      <c r="C34" s="14" t="s">
        <v>163</v>
      </c>
      <c r="D34" s="28">
        <v>120.68600000000001</v>
      </c>
      <c r="E34" s="28">
        <v>920.64800000000002</v>
      </c>
      <c r="F34" s="28">
        <v>253.16</v>
      </c>
      <c r="G34" s="28">
        <v>144.00399999999999</v>
      </c>
      <c r="H34" s="28">
        <v>72.727000000000004</v>
      </c>
      <c r="I34" s="28">
        <v>67.790999999999997</v>
      </c>
      <c r="J34" s="28">
        <v>38.149000000000001</v>
      </c>
      <c r="K34" s="28">
        <v>31.079000000000001</v>
      </c>
      <c r="L34" s="28">
        <v>51.744</v>
      </c>
      <c r="M34" s="28">
        <v>132.393</v>
      </c>
      <c r="N34" s="28">
        <v>58.5</v>
      </c>
      <c r="O34" s="28">
        <v>70.745000000000005</v>
      </c>
      <c r="P34" s="28">
        <v>176.53</v>
      </c>
      <c r="Q34" s="28">
        <v>33.423000000000002</v>
      </c>
      <c r="R34" s="28">
        <v>48.033000000000001</v>
      </c>
      <c r="S34" s="28">
        <v>23.28</v>
      </c>
      <c r="T34" s="28">
        <v>57.963999999999999</v>
      </c>
      <c r="U34" s="28">
        <v>62.165999999999997</v>
      </c>
      <c r="V34" s="28">
        <v>67.563999999999993</v>
      </c>
      <c r="W34" s="28">
        <v>96.911000000000001</v>
      </c>
      <c r="X34" s="28">
        <v>120.765</v>
      </c>
      <c r="Y34" s="28">
        <v>113.226</v>
      </c>
      <c r="Z34" s="28">
        <v>116.67700000000001</v>
      </c>
      <c r="AA34" s="28">
        <v>92.052999999999997</v>
      </c>
      <c r="AB34" s="28">
        <v>128.76499999999999</v>
      </c>
      <c r="AC34" s="28">
        <v>133.23099999999999</v>
      </c>
      <c r="AD34" s="28">
        <v>81.391000000000005</v>
      </c>
      <c r="AE34" s="28">
        <v>56.65</v>
      </c>
      <c r="AF34" s="28">
        <v>94.747</v>
      </c>
      <c r="AG34" s="28">
        <v>131.709</v>
      </c>
      <c r="AH34" s="28">
        <v>44.875</v>
      </c>
      <c r="AI34" s="28">
        <v>40.064</v>
      </c>
      <c r="AJ34" s="28">
        <v>38.950000000000003</v>
      </c>
      <c r="AK34" s="28">
        <v>37.167999999999999</v>
      </c>
    </row>
    <row r="35" spans="1:37" x14ac:dyDescent="0.25">
      <c r="A35" s="5" t="s">
        <v>356</v>
      </c>
      <c r="B35" s="36">
        <v>274467</v>
      </c>
      <c r="C35" s="14" t="s">
        <v>163</v>
      </c>
      <c r="D35" s="28">
        <v>54.686999999999998</v>
      </c>
      <c r="E35" s="28">
        <v>90.201999999999998</v>
      </c>
      <c r="F35" s="28">
        <v>71.683999999999997</v>
      </c>
      <c r="G35" s="28">
        <v>59.017000000000003</v>
      </c>
      <c r="H35" s="28">
        <v>42.104999999999997</v>
      </c>
      <c r="I35" s="28">
        <v>40.402000000000001</v>
      </c>
      <c r="J35" s="28">
        <v>27.614999999999998</v>
      </c>
      <c r="K35" s="28">
        <v>23.71</v>
      </c>
      <c r="L35" s="28">
        <v>34.098999999999997</v>
      </c>
      <c r="M35" s="28">
        <v>56.969000000000001</v>
      </c>
      <c r="N35" s="28">
        <v>36.908000000000001</v>
      </c>
      <c r="O35" s="28">
        <v>41.433</v>
      </c>
      <c r="P35" s="28">
        <v>63.838000000000001</v>
      </c>
      <c r="Q35" s="28">
        <v>25.05</v>
      </c>
      <c r="R35" s="28">
        <v>32.448</v>
      </c>
      <c r="S35" s="28">
        <v>18.884</v>
      </c>
      <c r="T35" s="28">
        <v>36.694000000000003</v>
      </c>
      <c r="U35" s="28">
        <v>38.335000000000001</v>
      </c>
      <c r="V35" s="28">
        <v>40.320999999999998</v>
      </c>
      <c r="W35" s="28">
        <v>49.216000000000001</v>
      </c>
      <c r="X35" s="28">
        <v>54.703000000000003</v>
      </c>
      <c r="Y35" s="28">
        <v>53.100999999999999</v>
      </c>
      <c r="Z35" s="28">
        <v>53.847999999999999</v>
      </c>
      <c r="AA35" s="28">
        <v>47.930999999999997</v>
      </c>
      <c r="AB35" s="28">
        <v>56.286999999999999</v>
      </c>
      <c r="AC35" s="28">
        <v>57.124000000000002</v>
      </c>
      <c r="AD35" s="28">
        <v>44.871000000000002</v>
      </c>
      <c r="AE35" s="28">
        <v>36.162999999999997</v>
      </c>
      <c r="AF35" s="28">
        <v>48.651000000000003</v>
      </c>
      <c r="AG35" s="28">
        <v>56.841999999999999</v>
      </c>
      <c r="AH35" s="28">
        <v>30.975000000000001</v>
      </c>
      <c r="AI35" s="28">
        <v>28.603999999999999</v>
      </c>
      <c r="AJ35" s="28">
        <v>28.032</v>
      </c>
      <c r="AK35" s="28">
        <v>27.097000000000001</v>
      </c>
    </row>
    <row r="36" spans="1:37" x14ac:dyDescent="0.25">
      <c r="A36" s="5" t="s">
        <v>357</v>
      </c>
      <c r="B36" s="36">
        <v>274468</v>
      </c>
      <c r="C36" s="14" t="s">
        <v>163</v>
      </c>
      <c r="D36" s="28">
        <v>53.737000000000002</v>
      </c>
      <c r="E36" s="28">
        <v>39.895000000000003</v>
      </c>
      <c r="F36" s="28">
        <v>7.5460000000000003</v>
      </c>
      <c r="G36" s="28">
        <v>2.2770000000000001</v>
      </c>
      <c r="H36" s="28">
        <v>1.256</v>
      </c>
      <c r="I36" s="28">
        <v>1.732</v>
      </c>
      <c r="J36" s="28">
        <v>0.74299999999999999</v>
      </c>
      <c r="K36" s="28">
        <v>0.879</v>
      </c>
      <c r="L36" s="28">
        <v>2.1120000000000001</v>
      </c>
      <c r="M36" s="28">
        <v>6.2270000000000003</v>
      </c>
      <c r="N36" s="14" t="s">
        <v>103</v>
      </c>
      <c r="O36" s="28">
        <v>3.8450000000000002</v>
      </c>
      <c r="P36" s="28">
        <v>7.64</v>
      </c>
      <c r="Q36" s="28">
        <v>0.72</v>
      </c>
      <c r="R36" s="28">
        <v>0.90900000000000003</v>
      </c>
      <c r="S36" s="28">
        <v>0.46899999999999997</v>
      </c>
      <c r="T36" s="28">
        <v>1.8859999999999999</v>
      </c>
      <c r="U36" s="28">
        <v>0.92100000000000004</v>
      </c>
      <c r="V36" s="14" t="s">
        <v>103</v>
      </c>
      <c r="W36" s="28">
        <v>7.1790000000000003</v>
      </c>
      <c r="X36" s="28">
        <v>5.0570000000000004</v>
      </c>
      <c r="Y36" s="28">
        <v>3.7149999999999999</v>
      </c>
      <c r="Z36" s="28">
        <v>4.9359999999999999</v>
      </c>
      <c r="AA36" s="28">
        <v>2.2770000000000001</v>
      </c>
      <c r="AB36" s="28">
        <v>165.15799999999999</v>
      </c>
      <c r="AC36" s="28">
        <v>7.8730000000000002</v>
      </c>
      <c r="AD36" s="28">
        <v>2.6419999999999999</v>
      </c>
      <c r="AE36" s="28">
        <v>1.619</v>
      </c>
      <c r="AF36" s="28">
        <v>6.6630000000000003</v>
      </c>
      <c r="AG36" s="14" t="s">
        <v>103</v>
      </c>
      <c r="AH36" s="28">
        <v>0.746</v>
      </c>
      <c r="AI36" s="28">
        <v>0.97499999999999998</v>
      </c>
      <c r="AJ36" s="28">
        <v>2.1829999999999998</v>
      </c>
      <c r="AK36" s="28">
        <v>3.3690000000000002</v>
      </c>
    </row>
    <row r="37" spans="1:37" x14ac:dyDescent="0.25">
      <c r="A37" s="5" t="s">
        <v>51</v>
      </c>
      <c r="B37" s="3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spans="1:37" x14ac:dyDescent="0.25">
      <c r="A38" s="20" t="s">
        <v>358</v>
      </c>
      <c r="B38" s="3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1:37" x14ac:dyDescent="0.25">
      <c r="A39" s="5" t="s">
        <v>359</v>
      </c>
      <c r="B39" s="36">
        <v>271468</v>
      </c>
      <c r="C39" s="21">
        <v>6073000</v>
      </c>
      <c r="D39" s="21">
        <v>4864000</v>
      </c>
      <c r="E39" s="21">
        <v>4919000</v>
      </c>
      <c r="F39" s="21">
        <v>5612000</v>
      </c>
      <c r="G39" s="21">
        <v>6077000</v>
      </c>
      <c r="H39" s="21">
        <v>6456000</v>
      </c>
      <c r="I39" s="21">
        <v>6533000</v>
      </c>
      <c r="J39" s="21">
        <v>6814000</v>
      </c>
      <c r="K39" s="21">
        <v>6378000</v>
      </c>
      <c r="L39" s="21">
        <v>5536000</v>
      </c>
      <c r="M39" s="21">
        <v>6090000</v>
      </c>
      <c r="N39" s="21">
        <v>6289000</v>
      </c>
      <c r="O39" s="21">
        <v>6949000</v>
      </c>
      <c r="P39" s="21">
        <v>9328000</v>
      </c>
      <c r="Q39" s="21">
        <v>13975000</v>
      </c>
      <c r="R39" s="21">
        <v>14039000</v>
      </c>
      <c r="S39" s="21">
        <v>15715000</v>
      </c>
      <c r="T39" s="21">
        <v>16873000</v>
      </c>
      <c r="U39" s="21">
        <v>23754000</v>
      </c>
      <c r="V39" s="21">
        <v>11048000</v>
      </c>
      <c r="W39" s="21">
        <v>17374000</v>
      </c>
      <c r="X39" s="21">
        <v>19884000</v>
      </c>
      <c r="Y39" s="21">
        <v>19328000</v>
      </c>
      <c r="Z39" s="21">
        <v>17424000</v>
      </c>
      <c r="AA39" s="21">
        <v>17507000</v>
      </c>
      <c r="AB39" s="21">
        <v>11574000</v>
      </c>
      <c r="AC39" s="21">
        <v>10261000</v>
      </c>
      <c r="AD39" s="21">
        <v>12250000</v>
      </c>
      <c r="AE39" s="21">
        <v>14178000</v>
      </c>
      <c r="AF39" s="21">
        <v>12937000</v>
      </c>
      <c r="AG39" s="21">
        <v>9741000</v>
      </c>
      <c r="AH39" s="21">
        <v>20275000</v>
      </c>
      <c r="AI39" s="21">
        <v>21065000</v>
      </c>
      <c r="AJ39" s="21">
        <v>18053000</v>
      </c>
      <c r="AK39" s="21">
        <v>15640000</v>
      </c>
    </row>
    <row r="40" spans="1:37" x14ac:dyDescent="0.25">
      <c r="A40" s="5" t="s">
        <v>360</v>
      </c>
      <c r="B40" s="36">
        <v>271473</v>
      </c>
      <c r="C40" s="21">
        <v>857000</v>
      </c>
      <c r="D40" s="21">
        <v>132000</v>
      </c>
      <c r="E40" s="21">
        <v>143000</v>
      </c>
      <c r="F40" s="21">
        <v>308000</v>
      </c>
      <c r="G40" s="21">
        <v>735000</v>
      </c>
      <c r="H40" s="21">
        <v>891000</v>
      </c>
      <c r="I40" s="21">
        <v>704000</v>
      </c>
      <c r="J40" s="21">
        <v>1052000</v>
      </c>
      <c r="K40" s="21">
        <v>774000</v>
      </c>
      <c r="L40" s="21">
        <v>452000</v>
      </c>
      <c r="M40" s="21">
        <v>406000</v>
      </c>
      <c r="N40" s="21">
        <v>123000</v>
      </c>
      <c r="O40" s="21">
        <v>791000</v>
      </c>
      <c r="P40" s="21">
        <v>870000</v>
      </c>
      <c r="Q40" s="21">
        <v>2607000</v>
      </c>
      <c r="R40" s="21">
        <v>2398000</v>
      </c>
      <c r="S40" s="21">
        <v>2769000</v>
      </c>
      <c r="T40" s="21">
        <v>2286000</v>
      </c>
      <c r="U40" s="21">
        <v>4031000</v>
      </c>
      <c r="V40" s="21">
        <v>-463000</v>
      </c>
      <c r="W40" s="21">
        <v>1115000</v>
      </c>
      <c r="X40" s="21">
        <v>1558000</v>
      </c>
      <c r="Y40" s="21">
        <v>1679000</v>
      </c>
      <c r="Z40" s="21">
        <v>1408000</v>
      </c>
      <c r="AA40" s="21">
        <v>2052000</v>
      </c>
      <c r="AB40" s="21">
        <v>433000</v>
      </c>
      <c r="AC40" s="21">
        <v>653000</v>
      </c>
      <c r="AD40" s="21">
        <v>1392000</v>
      </c>
      <c r="AE40" s="21">
        <v>1873000</v>
      </c>
      <c r="AF40" s="21">
        <v>936000</v>
      </c>
      <c r="AG40" s="21">
        <v>253000</v>
      </c>
      <c r="AH40" s="21">
        <v>5811000</v>
      </c>
      <c r="AI40" s="21">
        <v>4353000</v>
      </c>
      <c r="AJ40" s="21">
        <v>2304000</v>
      </c>
      <c r="AK40" s="21">
        <v>1628000</v>
      </c>
    </row>
    <row r="41" spans="1:37" x14ac:dyDescent="0.25">
      <c r="A41" s="5" t="s">
        <v>361</v>
      </c>
      <c r="B41" s="36">
        <v>271505</v>
      </c>
      <c r="C41" s="21">
        <v>310000</v>
      </c>
      <c r="D41" s="21">
        <v>-507000</v>
      </c>
      <c r="E41" s="21">
        <v>-271000</v>
      </c>
      <c r="F41" s="21">
        <v>-169000</v>
      </c>
      <c r="G41" s="21">
        <v>201000</v>
      </c>
      <c r="H41" s="21">
        <v>303000</v>
      </c>
      <c r="I41" s="21">
        <v>275000</v>
      </c>
      <c r="J41" s="21">
        <v>452000</v>
      </c>
      <c r="K41" s="21">
        <v>364000</v>
      </c>
      <c r="L41" s="21">
        <v>51000</v>
      </c>
      <c r="M41" s="21">
        <v>-21000</v>
      </c>
      <c r="N41" s="21">
        <v>-218000</v>
      </c>
      <c r="O41" s="21">
        <v>61000</v>
      </c>
      <c r="P41" s="21">
        <v>-363000</v>
      </c>
      <c r="Q41" s="21">
        <v>1154000</v>
      </c>
      <c r="R41" s="21">
        <v>947000</v>
      </c>
      <c r="S41" s="21">
        <v>1399000</v>
      </c>
      <c r="T41" s="21">
        <v>890000</v>
      </c>
      <c r="U41" s="21">
        <v>2154000</v>
      </c>
      <c r="V41" s="21">
        <v>-1406000</v>
      </c>
      <c r="W41" s="21">
        <v>-482000</v>
      </c>
      <c r="X41" s="21">
        <v>-53000</v>
      </c>
      <c r="Y41" s="21">
        <v>-125000</v>
      </c>
      <c r="Z41" s="21">
        <v>-1645000</v>
      </c>
      <c r="AA41" s="21">
        <v>102000</v>
      </c>
      <c r="AB41" s="21">
        <v>-1642000</v>
      </c>
      <c r="AC41" s="21">
        <v>-440000</v>
      </c>
      <c r="AD41" s="21">
        <v>387000</v>
      </c>
      <c r="AE41" s="21">
        <v>1115000</v>
      </c>
      <c r="AF41" s="21">
        <v>-630000</v>
      </c>
      <c r="AG41" s="21">
        <v>-1165000</v>
      </c>
      <c r="AH41" s="21">
        <v>4174000</v>
      </c>
      <c r="AI41" s="21">
        <v>2524000</v>
      </c>
      <c r="AJ41" s="21">
        <v>895000</v>
      </c>
      <c r="AK41" s="21">
        <v>384000</v>
      </c>
    </row>
    <row r="42" spans="1:37" x14ac:dyDescent="0.25">
      <c r="A42" s="5" t="s">
        <v>362</v>
      </c>
      <c r="B42" s="36">
        <v>271510</v>
      </c>
      <c r="C42" s="21">
        <v>310000</v>
      </c>
      <c r="D42" s="21">
        <v>-507000</v>
      </c>
      <c r="E42" s="21">
        <v>-1606000</v>
      </c>
      <c r="F42" s="21">
        <v>-238000</v>
      </c>
      <c r="G42" s="21">
        <v>201000</v>
      </c>
      <c r="H42" s="21">
        <v>301000</v>
      </c>
      <c r="I42" s="21">
        <v>273000</v>
      </c>
      <c r="J42" s="21">
        <v>452000</v>
      </c>
      <c r="K42" s="21">
        <v>364000</v>
      </c>
      <c r="L42" s="21">
        <v>44000</v>
      </c>
      <c r="M42" s="21">
        <v>-21000</v>
      </c>
      <c r="N42" s="21">
        <v>-218000</v>
      </c>
      <c r="O42" s="21">
        <v>61000</v>
      </c>
      <c r="P42" s="21">
        <v>-420000</v>
      </c>
      <c r="Q42" s="21">
        <v>1135000</v>
      </c>
      <c r="R42" s="21">
        <v>910000</v>
      </c>
      <c r="S42" s="21">
        <v>1374000</v>
      </c>
      <c r="T42" s="21">
        <v>879000</v>
      </c>
      <c r="U42" s="21">
        <v>2112000</v>
      </c>
      <c r="V42" s="21">
        <v>-1401000</v>
      </c>
      <c r="W42" s="21">
        <v>-482000</v>
      </c>
      <c r="X42" s="21">
        <v>-53000</v>
      </c>
      <c r="Y42" s="21">
        <v>-124000</v>
      </c>
      <c r="Z42" s="21">
        <v>-1645000</v>
      </c>
      <c r="AA42" s="21">
        <v>102000</v>
      </c>
      <c r="AB42" s="21">
        <v>-1642000</v>
      </c>
      <c r="AC42" s="21">
        <v>-440000</v>
      </c>
      <c r="AD42" s="21">
        <v>387000</v>
      </c>
      <c r="AE42" s="21">
        <v>1115000</v>
      </c>
      <c r="AF42" s="21">
        <v>-630000</v>
      </c>
      <c r="AG42" s="21">
        <v>-1165000</v>
      </c>
      <c r="AH42" s="21">
        <v>4174000</v>
      </c>
      <c r="AI42" s="21">
        <v>2524000</v>
      </c>
      <c r="AJ42" s="21">
        <v>895000</v>
      </c>
      <c r="AK42" s="21">
        <v>384000</v>
      </c>
    </row>
    <row r="43" spans="1:37" x14ac:dyDescent="0.25">
      <c r="A43" s="5" t="s">
        <v>106</v>
      </c>
      <c r="B43" s="36">
        <v>271528</v>
      </c>
      <c r="C43" s="21">
        <v>753000</v>
      </c>
      <c r="D43" s="21">
        <v>38000</v>
      </c>
      <c r="E43" s="21">
        <v>57000</v>
      </c>
      <c r="F43" s="21">
        <v>207000</v>
      </c>
      <c r="G43" s="21">
        <v>638000</v>
      </c>
      <c r="H43" s="21">
        <v>815000</v>
      </c>
      <c r="I43" s="21">
        <v>638000</v>
      </c>
      <c r="J43" s="21">
        <v>949000</v>
      </c>
      <c r="K43" s="21">
        <v>763000</v>
      </c>
      <c r="L43" s="21">
        <v>520000</v>
      </c>
      <c r="M43" s="21">
        <v>422000</v>
      </c>
      <c r="N43" s="21">
        <v>-147000</v>
      </c>
      <c r="O43" s="21">
        <v>373000</v>
      </c>
      <c r="P43" s="21">
        <v>253000</v>
      </c>
      <c r="Q43" s="21">
        <v>1903000</v>
      </c>
      <c r="R43" s="21">
        <v>1774000</v>
      </c>
      <c r="S43" s="21">
        <v>2184000</v>
      </c>
      <c r="T43" s="21">
        <v>1727000</v>
      </c>
      <c r="U43" s="21">
        <v>3414000</v>
      </c>
      <c r="V43" s="21">
        <v>-1032000</v>
      </c>
      <c r="W43" s="21">
        <v>520000</v>
      </c>
      <c r="X43" s="21">
        <v>836000</v>
      </c>
      <c r="Y43" s="21">
        <v>1060000</v>
      </c>
      <c r="Z43" s="21">
        <v>798000</v>
      </c>
      <c r="AA43" s="21">
        <v>1536000</v>
      </c>
      <c r="AB43" s="21">
        <v>19000</v>
      </c>
      <c r="AC43" s="21">
        <v>385000</v>
      </c>
      <c r="AD43" s="21">
        <v>1023000</v>
      </c>
      <c r="AE43" s="21">
        <v>1471000</v>
      </c>
      <c r="AF43" s="21">
        <v>490000</v>
      </c>
      <c r="AG43" s="21">
        <v>-69000</v>
      </c>
      <c r="AH43" s="21">
        <v>5396000</v>
      </c>
      <c r="AI43" s="21">
        <v>4159000</v>
      </c>
      <c r="AJ43" s="21">
        <v>1919000</v>
      </c>
      <c r="AK43" s="21">
        <v>1200000</v>
      </c>
    </row>
    <row r="44" spans="1:37" x14ac:dyDescent="0.25">
      <c r="A44" s="5" t="s">
        <v>108</v>
      </c>
      <c r="B44" s="36">
        <v>271530</v>
      </c>
      <c r="C44" s="21">
        <v>475000</v>
      </c>
      <c r="D44" s="21">
        <v>-215000</v>
      </c>
      <c r="E44" s="21">
        <v>-231000</v>
      </c>
      <c r="F44" s="21">
        <v>-107000</v>
      </c>
      <c r="G44" s="21">
        <v>324000</v>
      </c>
      <c r="H44" s="21">
        <v>497000</v>
      </c>
      <c r="I44" s="21">
        <v>346000</v>
      </c>
      <c r="J44" s="21">
        <v>646000</v>
      </c>
      <c r="K44" s="21">
        <v>480000</v>
      </c>
      <c r="L44" s="21">
        <v>216000</v>
      </c>
      <c r="M44" s="21">
        <v>62000</v>
      </c>
      <c r="N44" s="21">
        <v>-491000</v>
      </c>
      <c r="O44" s="21">
        <v>23000</v>
      </c>
      <c r="P44" s="21">
        <v>-110000</v>
      </c>
      <c r="Q44" s="21">
        <v>1521000</v>
      </c>
      <c r="R44" s="21">
        <v>1408000</v>
      </c>
      <c r="S44" s="21">
        <v>1748000</v>
      </c>
      <c r="T44" s="21">
        <v>1221000</v>
      </c>
      <c r="U44" s="21">
        <v>2809000</v>
      </c>
      <c r="V44" s="21">
        <v>-1693000</v>
      </c>
      <c r="W44" s="21">
        <v>-138000</v>
      </c>
      <c r="X44" s="21">
        <v>155000</v>
      </c>
      <c r="Y44" s="21">
        <v>399000</v>
      </c>
      <c r="Z44" s="21">
        <v>114000</v>
      </c>
      <c r="AA44" s="21">
        <v>909000</v>
      </c>
      <c r="AB44" s="21">
        <v>-528000</v>
      </c>
      <c r="AC44" s="21">
        <v>-122000</v>
      </c>
      <c r="AD44" s="21">
        <v>522000</v>
      </c>
      <c r="AE44" s="21">
        <v>950000</v>
      </c>
      <c r="AF44" s="21">
        <v>-126000</v>
      </c>
      <c r="AG44" s="21">
        <v>-712000</v>
      </c>
      <c r="AH44" s="21">
        <v>4605000</v>
      </c>
      <c r="AI44" s="21">
        <v>3368000</v>
      </c>
      <c r="AJ44" s="21">
        <v>1003000</v>
      </c>
      <c r="AK44" s="21">
        <v>287000</v>
      </c>
    </row>
    <row r="45" spans="1:37" x14ac:dyDescent="0.25">
      <c r="A45" s="5" t="s">
        <v>363</v>
      </c>
      <c r="B45" s="36">
        <v>274484</v>
      </c>
      <c r="C45" s="28">
        <v>3.8029999999999999</v>
      </c>
      <c r="D45" s="28">
        <v>0.22600000000000001</v>
      </c>
      <c r="E45" s="28">
        <v>0.32400000000000001</v>
      </c>
      <c r="F45" s="28">
        <v>0.627</v>
      </c>
      <c r="G45" s="28">
        <v>4.1970000000000001</v>
      </c>
      <c r="H45" s="28">
        <v>5.9489999999999998</v>
      </c>
      <c r="I45" s="28">
        <v>5.3170000000000002</v>
      </c>
      <c r="J45" s="28">
        <v>10.429</v>
      </c>
      <c r="K45" s="28">
        <v>16.234000000000002</v>
      </c>
      <c r="L45" s="28">
        <v>6.9329999999999998</v>
      </c>
      <c r="M45" s="28">
        <v>4.3959999999999999</v>
      </c>
      <c r="N45" s="14" t="s">
        <v>103</v>
      </c>
      <c r="O45" s="28">
        <v>2.847</v>
      </c>
      <c r="P45" s="28">
        <v>1.6539999999999999</v>
      </c>
      <c r="Q45" s="28">
        <v>12.044</v>
      </c>
      <c r="R45" s="28">
        <v>22.456</v>
      </c>
      <c r="S45" s="28">
        <v>18.827999999999999</v>
      </c>
      <c r="T45" s="28">
        <v>11.362</v>
      </c>
      <c r="U45" s="28">
        <v>19.620999999999999</v>
      </c>
      <c r="V45" s="14" t="s">
        <v>103</v>
      </c>
      <c r="W45" s="28">
        <v>2.476</v>
      </c>
      <c r="X45" s="28">
        <v>4.0579999999999998</v>
      </c>
      <c r="Y45" s="28">
        <v>4.609</v>
      </c>
      <c r="Z45" s="28">
        <v>2.79</v>
      </c>
      <c r="AA45" s="28">
        <v>6.2439999999999998</v>
      </c>
      <c r="AB45" s="28">
        <v>8.4000000000000005E-2</v>
      </c>
      <c r="AC45" s="28">
        <v>1.611</v>
      </c>
      <c r="AD45" s="28">
        <v>4.335</v>
      </c>
      <c r="AE45" s="28">
        <v>8.3580000000000005</v>
      </c>
      <c r="AF45" s="28">
        <v>3.9060000000000001</v>
      </c>
      <c r="AG45" s="28">
        <v>4.1000000000000002E-2</v>
      </c>
      <c r="AH45" s="28">
        <v>16.754999999999999</v>
      </c>
      <c r="AI45" s="28">
        <v>25.225999999999999</v>
      </c>
      <c r="AJ45" s="28">
        <v>24.542999999999999</v>
      </c>
      <c r="AK45" s="28">
        <v>38.241999999999997</v>
      </c>
    </row>
    <row r="46" spans="1:37" x14ac:dyDescent="0.25">
      <c r="A46" s="5" t="s">
        <v>364</v>
      </c>
      <c r="B46" s="36">
        <v>274483</v>
      </c>
      <c r="C46" s="28">
        <v>2.399</v>
      </c>
      <c r="D46" s="14" t="s">
        <v>103</v>
      </c>
      <c r="E46" s="14" t="s">
        <v>103</v>
      </c>
      <c r="F46" s="14" t="s">
        <v>103</v>
      </c>
      <c r="G46" s="28">
        <v>2.1320000000000001</v>
      </c>
      <c r="H46" s="28">
        <v>3.6280000000000001</v>
      </c>
      <c r="I46" s="28">
        <v>2.883</v>
      </c>
      <c r="J46" s="28">
        <v>7.0990000000000002</v>
      </c>
      <c r="K46" s="28">
        <v>10.212999999999999</v>
      </c>
      <c r="L46" s="28">
        <v>2.88</v>
      </c>
      <c r="M46" s="28">
        <v>0.64600000000000002</v>
      </c>
      <c r="N46" s="14" t="s">
        <v>103</v>
      </c>
      <c r="O46" s="28">
        <v>0.17599999999999999</v>
      </c>
      <c r="P46" s="14" t="s">
        <v>103</v>
      </c>
      <c r="Q46" s="28">
        <v>9.6270000000000007</v>
      </c>
      <c r="R46" s="28">
        <v>17.823</v>
      </c>
      <c r="S46" s="28">
        <v>15.069000000000001</v>
      </c>
      <c r="T46" s="28">
        <v>8.0329999999999995</v>
      </c>
      <c r="U46" s="28">
        <v>16.143999999999998</v>
      </c>
      <c r="V46" s="14" t="s">
        <v>103</v>
      </c>
      <c r="W46" s="14" t="s">
        <v>103</v>
      </c>
      <c r="X46" s="28">
        <v>0.752</v>
      </c>
      <c r="Y46" s="28">
        <v>1.7350000000000001</v>
      </c>
      <c r="Z46" s="28">
        <v>0.39900000000000002</v>
      </c>
      <c r="AA46" s="28">
        <v>3.6949999999999998</v>
      </c>
      <c r="AB46" s="14" t="s">
        <v>103</v>
      </c>
      <c r="AC46" s="14" t="s">
        <v>103</v>
      </c>
      <c r="AD46" s="28">
        <v>2.2120000000000002</v>
      </c>
      <c r="AE46" s="28">
        <v>5.3979999999999997</v>
      </c>
      <c r="AF46" s="14" t="s">
        <v>103</v>
      </c>
      <c r="AG46" s="14" t="s">
        <v>103</v>
      </c>
      <c r="AH46" s="28">
        <v>14.083</v>
      </c>
      <c r="AI46" s="28">
        <v>20.047999999999998</v>
      </c>
      <c r="AJ46" s="28">
        <v>12.382999999999999</v>
      </c>
      <c r="AK46" s="28">
        <v>8.6969999999999992</v>
      </c>
    </row>
    <row r="47" spans="1:37" x14ac:dyDescent="0.25">
      <c r="A47" s="5" t="s">
        <v>365</v>
      </c>
      <c r="B47" s="36">
        <v>274485</v>
      </c>
      <c r="C47" s="14" t="s">
        <v>163</v>
      </c>
      <c r="D47" s="14" t="s">
        <v>163</v>
      </c>
      <c r="E47" s="37">
        <v>32.999000000000002</v>
      </c>
      <c r="F47" s="37">
        <v>31.966999999999999</v>
      </c>
      <c r="G47" s="37">
        <v>37.689</v>
      </c>
      <c r="H47" s="37">
        <v>36.353000000000002</v>
      </c>
      <c r="I47" s="37">
        <v>33.445999999999998</v>
      </c>
      <c r="J47" s="37">
        <v>31.282</v>
      </c>
      <c r="K47" s="37">
        <v>28.041</v>
      </c>
      <c r="L47" s="37">
        <v>29.01</v>
      </c>
      <c r="M47" s="37">
        <v>33.445</v>
      </c>
      <c r="N47" s="37">
        <v>34.170999999999999</v>
      </c>
      <c r="O47" s="37">
        <v>29.966000000000001</v>
      </c>
      <c r="P47" s="37">
        <v>27.155999999999999</v>
      </c>
      <c r="Q47" s="37">
        <v>26.097999999999999</v>
      </c>
      <c r="R47" s="37">
        <v>28.780999999999999</v>
      </c>
      <c r="S47" s="37">
        <v>23.341999999999999</v>
      </c>
      <c r="T47" s="37">
        <v>20.614999999999998</v>
      </c>
      <c r="U47" s="37">
        <v>15.593</v>
      </c>
      <c r="V47" s="37">
        <v>33.764000000000003</v>
      </c>
      <c r="W47" s="37">
        <v>21.449000000000002</v>
      </c>
      <c r="X47" s="37">
        <v>19.016999999999999</v>
      </c>
      <c r="Y47" s="37">
        <v>21.881</v>
      </c>
      <c r="Z47" s="37">
        <v>34.774000000000001</v>
      </c>
      <c r="AA47" s="37">
        <v>40.509</v>
      </c>
      <c r="AB47" s="37">
        <v>46.831000000000003</v>
      </c>
      <c r="AC47" s="37">
        <v>40.984000000000002</v>
      </c>
      <c r="AD47" s="37">
        <v>38.779000000000003</v>
      </c>
      <c r="AE47" s="37">
        <v>38.731999999999999</v>
      </c>
      <c r="AF47" s="37">
        <v>39.795000000000002</v>
      </c>
      <c r="AG47" s="37">
        <v>40.673000000000002</v>
      </c>
      <c r="AH47" s="37">
        <v>27.283000000000001</v>
      </c>
      <c r="AI47" s="37">
        <v>31.856000000000002</v>
      </c>
      <c r="AJ47" s="37">
        <v>32.137</v>
      </c>
      <c r="AK47" s="37">
        <v>33.944000000000003</v>
      </c>
    </row>
    <row r="48" spans="1:37" x14ac:dyDescent="0.25">
      <c r="A48" s="5" t="s">
        <v>366</v>
      </c>
      <c r="B48" s="36">
        <v>274486</v>
      </c>
      <c r="C48" s="14" t="s">
        <v>163</v>
      </c>
      <c r="D48" s="14" t="s">
        <v>163</v>
      </c>
      <c r="E48" s="37">
        <v>48.546999999999997</v>
      </c>
      <c r="F48" s="37">
        <v>43.801000000000002</v>
      </c>
      <c r="G48" s="37">
        <v>41.814999999999998</v>
      </c>
      <c r="H48" s="37">
        <v>39.222000000000001</v>
      </c>
      <c r="I48" s="37">
        <v>39.212000000000003</v>
      </c>
      <c r="J48" s="37">
        <v>42.853999999999999</v>
      </c>
      <c r="K48" s="37">
        <v>45.69</v>
      </c>
      <c r="L48" s="37">
        <v>51.726999999999997</v>
      </c>
      <c r="M48" s="37">
        <v>54.378</v>
      </c>
      <c r="N48" s="37">
        <v>53.75</v>
      </c>
      <c r="O48" s="37">
        <v>56.308999999999997</v>
      </c>
      <c r="P48" s="37">
        <v>49.908000000000001</v>
      </c>
      <c r="Q48" s="37">
        <v>41.661000000000001</v>
      </c>
      <c r="R48" s="37">
        <v>43.442</v>
      </c>
      <c r="S48" s="37">
        <v>43.277999999999999</v>
      </c>
      <c r="T48" s="37">
        <v>48.58</v>
      </c>
      <c r="U48" s="37">
        <v>44.268000000000001</v>
      </c>
      <c r="V48" s="37">
        <v>66.129000000000005</v>
      </c>
      <c r="W48" s="37">
        <v>45.246000000000002</v>
      </c>
      <c r="X48" s="37">
        <v>51.057000000000002</v>
      </c>
      <c r="Y48" s="37">
        <v>54.726999999999997</v>
      </c>
      <c r="Z48" s="37">
        <v>59.15</v>
      </c>
      <c r="AA48" s="37">
        <v>61.215000000000003</v>
      </c>
      <c r="AB48" s="37">
        <v>74.861000000000004</v>
      </c>
      <c r="AC48" s="37">
        <v>69.462999999999994</v>
      </c>
      <c r="AD48" s="37">
        <v>55.651000000000003</v>
      </c>
      <c r="AE48" s="37">
        <v>56.804000000000002</v>
      </c>
      <c r="AF48" s="37">
        <v>58.957999999999998</v>
      </c>
      <c r="AG48" s="37">
        <v>61.469000000000001</v>
      </c>
      <c r="AH48" s="37">
        <v>45.573999999999998</v>
      </c>
      <c r="AI48" s="37">
        <v>49.895000000000003</v>
      </c>
      <c r="AJ48" s="37">
        <v>51.994999999999997</v>
      </c>
      <c r="AK48" s="37">
        <v>56.106999999999999</v>
      </c>
    </row>
    <row r="49" spans="1:37" x14ac:dyDescent="0.25">
      <c r="A49" s="5" t="s">
        <v>367</v>
      </c>
      <c r="B49" s="36">
        <v>274489</v>
      </c>
      <c r="C49" s="14" t="s">
        <v>163</v>
      </c>
      <c r="D49" s="14" t="s">
        <v>163</v>
      </c>
      <c r="E49" s="28">
        <v>11.090999999999999</v>
      </c>
      <c r="F49" s="28">
        <v>11.417999999999999</v>
      </c>
      <c r="G49" s="28">
        <v>9.6839999999999993</v>
      </c>
      <c r="H49" s="28">
        <v>10.039999999999999</v>
      </c>
      <c r="I49" s="28">
        <v>10.943</v>
      </c>
      <c r="J49" s="28">
        <v>11.667999999999999</v>
      </c>
      <c r="K49" s="28">
        <v>13.016</v>
      </c>
      <c r="L49" s="28">
        <v>12.582000000000001</v>
      </c>
      <c r="M49" s="28">
        <v>10.943</v>
      </c>
      <c r="N49" s="28">
        <v>10.680999999999999</v>
      </c>
      <c r="O49" s="28">
        <v>12.180999999999999</v>
      </c>
      <c r="P49" s="28">
        <v>13.441000000000001</v>
      </c>
      <c r="Q49" s="28">
        <v>14.023999999999999</v>
      </c>
      <c r="R49" s="28">
        <v>12.682</v>
      </c>
      <c r="S49" s="28">
        <v>15.637</v>
      </c>
      <c r="T49" s="28">
        <v>17.704999999999998</v>
      </c>
      <c r="U49" s="28">
        <v>23.472000000000001</v>
      </c>
      <c r="V49" s="28">
        <v>10.81</v>
      </c>
      <c r="W49" s="28">
        <v>17.016999999999999</v>
      </c>
      <c r="X49" s="28">
        <v>19.193000000000001</v>
      </c>
      <c r="Y49" s="28">
        <v>16.727</v>
      </c>
      <c r="Z49" s="28">
        <v>10.496</v>
      </c>
      <c r="AA49" s="28">
        <v>9.01</v>
      </c>
      <c r="AB49" s="28">
        <v>7.7939999999999996</v>
      </c>
      <c r="AC49" s="28">
        <v>8.93</v>
      </c>
      <c r="AD49" s="28">
        <v>9.4120000000000008</v>
      </c>
      <c r="AE49" s="28">
        <v>9.4239999999999995</v>
      </c>
      <c r="AF49" s="28">
        <v>9.1720000000000006</v>
      </c>
      <c r="AG49" s="28">
        <v>8.9990000000000006</v>
      </c>
      <c r="AH49" s="28">
        <v>13.378</v>
      </c>
      <c r="AI49" s="28">
        <v>11.458</v>
      </c>
      <c r="AJ49" s="28">
        <v>11.358000000000001</v>
      </c>
      <c r="AK49" s="28">
        <v>10.782</v>
      </c>
    </row>
    <row r="50" spans="1:37" x14ac:dyDescent="0.25">
      <c r="A50" s="5" t="s">
        <v>368</v>
      </c>
      <c r="B50" s="36">
        <v>274490</v>
      </c>
      <c r="C50" s="14" t="s">
        <v>163</v>
      </c>
      <c r="D50" s="14" t="s">
        <v>163</v>
      </c>
      <c r="E50" s="28">
        <v>7.5389999999999997</v>
      </c>
      <c r="F50" s="28">
        <v>8.3330000000000002</v>
      </c>
      <c r="G50" s="28">
        <v>8.7289999999999992</v>
      </c>
      <c r="H50" s="28">
        <v>9.3059999999999992</v>
      </c>
      <c r="I50" s="28">
        <v>9.3339999999999996</v>
      </c>
      <c r="J50" s="28">
        <v>8.5169999999999995</v>
      </c>
      <c r="K50" s="28">
        <v>7.9889999999999999</v>
      </c>
      <c r="L50" s="28">
        <v>7.056</v>
      </c>
      <c r="M50" s="28">
        <v>6.7309999999999999</v>
      </c>
      <c r="N50" s="28">
        <v>6.7910000000000004</v>
      </c>
      <c r="O50" s="28">
        <v>6.4820000000000002</v>
      </c>
      <c r="P50" s="28">
        <v>7.3129999999999997</v>
      </c>
      <c r="Q50" s="28">
        <v>8.7850000000000001</v>
      </c>
      <c r="R50" s="28">
        <v>8.4019999999999992</v>
      </c>
      <c r="S50" s="28">
        <v>8.4339999999999993</v>
      </c>
      <c r="T50" s="28">
        <v>7.5129999999999999</v>
      </c>
      <c r="U50" s="28">
        <v>8.2680000000000007</v>
      </c>
      <c r="V50" s="28">
        <v>5.52</v>
      </c>
      <c r="W50" s="28">
        <v>8.0670000000000002</v>
      </c>
      <c r="X50" s="28">
        <v>7.149</v>
      </c>
      <c r="Y50" s="28">
        <v>6.6879999999999997</v>
      </c>
      <c r="Z50" s="28">
        <v>6.1710000000000003</v>
      </c>
      <c r="AA50" s="28">
        <v>5.9630000000000001</v>
      </c>
      <c r="AB50" s="28">
        <v>4.8760000000000003</v>
      </c>
      <c r="AC50" s="28">
        <v>5.2690000000000001</v>
      </c>
      <c r="AD50" s="28">
        <v>6.5590000000000002</v>
      </c>
      <c r="AE50" s="28">
        <v>6.4260000000000002</v>
      </c>
      <c r="AF50" s="28">
        <v>6.1909999999999998</v>
      </c>
      <c r="AG50" s="28">
        <v>5.9539999999999997</v>
      </c>
      <c r="AH50" s="28">
        <v>8.0090000000000003</v>
      </c>
      <c r="AI50" s="28">
        <v>7.3150000000000004</v>
      </c>
      <c r="AJ50" s="28">
        <v>7.02</v>
      </c>
      <c r="AK50" s="28">
        <v>6.5229999999999997</v>
      </c>
    </row>
    <row r="51" spans="1:37" x14ac:dyDescent="0.25">
      <c r="A51" s="5" t="s">
        <v>369</v>
      </c>
      <c r="B51" s="36">
        <v>274488</v>
      </c>
      <c r="C51" s="14" t="s">
        <v>163</v>
      </c>
      <c r="D51" s="14" t="s">
        <v>163</v>
      </c>
      <c r="E51" s="28">
        <v>1.7549999999999999</v>
      </c>
      <c r="F51" s="28">
        <v>2.0550000000000002</v>
      </c>
      <c r="G51" s="28">
        <v>2.3420000000000001</v>
      </c>
      <c r="H51" s="28">
        <v>2.5579999999999998</v>
      </c>
      <c r="I51" s="28">
        <v>2.581</v>
      </c>
      <c r="J51" s="28">
        <v>2.7</v>
      </c>
      <c r="K51" s="28">
        <v>2.5529999999999999</v>
      </c>
      <c r="L51" s="28">
        <v>2.2069999999999999</v>
      </c>
      <c r="M51" s="28">
        <v>2.3180000000000001</v>
      </c>
      <c r="N51" s="28">
        <v>2.16</v>
      </c>
      <c r="O51" s="28">
        <v>2.2930000000000001</v>
      </c>
      <c r="P51" s="28">
        <v>2.919</v>
      </c>
      <c r="Q51" s="28">
        <v>3.97</v>
      </c>
      <c r="R51" s="28">
        <v>3.6739999999999999</v>
      </c>
      <c r="S51" s="28">
        <v>3.722</v>
      </c>
      <c r="T51" s="28">
        <v>3.036</v>
      </c>
      <c r="U51" s="28">
        <v>3.5550000000000002</v>
      </c>
      <c r="V51" s="28">
        <v>1.637</v>
      </c>
      <c r="W51" s="28">
        <v>2.6110000000000002</v>
      </c>
      <c r="X51" s="28">
        <v>3.044</v>
      </c>
      <c r="Y51" s="28">
        <v>2.9769999999999999</v>
      </c>
      <c r="Z51" s="28">
        <v>2.8260000000000001</v>
      </c>
      <c r="AA51" s="28">
        <v>3.3359999999999999</v>
      </c>
      <c r="AB51" s="28">
        <v>2.5760000000000001</v>
      </c>
      <c r="AC51" s="28">
        <v>2.4460000000000002</v>
      </c>
      <c r="AD51" s="28">
        <v>2.9660000000000002</v>
      </c>
      <c r="AE51" s="28">
        <v>3.101</v>
      </c>
      <c r="AF51" s="28">
        <v>2.4540000000000002</v>
      </c>
      <c r="AG51" s="28">
        <v>1.7190000000000001</v>
      </c>
      <c r="AH51" s="28">
        <v>3.0960000000000001</v>
      </c>
      <c r="AI51" s="28">
        <v>2.621</v>
      </c>
      <c r="AJ51" s="28">
        <v>1.8859999999999999</v>
      </c>
      <c r="AK51" s="28">
        <v>1.387</v>
      </c>
    </row>
    <row r="52" spans="1:37" x14ac:dyDescent="0.25">
      <c r="A52" s="5" t="s">
        <v>370</v>
      </c>
      <c r="B52" s="36">
        <v>274487</v>
      </c>
      <c r="C52" s="14" t="s">
        <v>163</v>
      </c>
      <c r="D52" s="14" t="s">
        <v>163</v>
      </c>
      <c r="E52" s="28">
        <v>0.82799999999999996</v>
      </c>
      <c r="F52" s="28">
        <v>0.871</v>
      </c>
      <c r="G52" s="28">
        <v>0.92700000000000005</v>
      </c>
      <c r="H52" s="28">
        <v>0.99299999999999999</v>
      </c>
      <c r="I52" s="28">
        <v>0.997</v>
      </c>
      <c r="J52" s="28">
        <v>1.0269999999999999</v>
      </c>
      <c r="K52" s="28">
        <v>0.94899999999999995</v>
      </c>
      <c r="L52" s="28">
        <v>0.77600000000000002</v>
      </c>
      <c r="M52" s="28">
        <v>0.75</v>
      </c>
      <c r="N52" s="28">
        <v>0.73799999999999999</v>
      </c>
      <c r="O52" s="28">
        <v>0.85199999999999998</v>
      </c>
      <c r="P52" s="28">
        <v>1.18</v>
      </c>
      <c r="Q52" s="28">
        <v>1.4790000000000001</v>
      </c>
      <c r="R52" s="28">
        <v>1.3440000000000001</v>
      </c>
      <c r="S52" s="28">
        <v>1.54</v>
      </c>
      <c r="T52" s="28">
        <v>1.2869999999999999</v>
      </c>
      <c r="U52" s="28">
        <v>1.498</v>
      </c>
      <c r="V52" s="28">
        <v>0.70099999999999996</v>
      </c>
      <c r="W52" s="28">
        <v>1.129</v>
      </c>
      <c r="X52" s="28">
        <v>1.266</v>
      </c>
      <c r="Y52" s="28">
        <v>1.2350000000000001</v>
      </c>
      <c r="Z52" s="28">
        <v>1.2290000000000001</v>
      </c>
      <c r="AA52" s="28">
        <v>1.3919999999999999</v>
      </c>
      <c r="AB52" s="28">
        <v>1.093</v>
      </c>
      <c r="AC52" s="28">
        <v>1.1200000000000001</v>
      </c>
      <c r="AD52" s="28">
        <v>1.288</v>
      </c>
      <c r="AE52" s="28">
        <v>1.36</v>
      </c>
      <c r="AF52" s="28">
        <v>1.145</v>
      </c>
      <c r="AG52" s="28">
        <v>0.82299999999999995</v>
      </c>
      <c r="AH52" s="28">
        <v>1.357</v>
      </c>
      <c r="AI52" s="28">
        <v>1.1299999999999999</v>
      </c>
      <c r="AJ52" s="28">
        <v>0.90500000000000003</v>
      </c>
      <c r="AK52" s="28">
        <v>0.76900000000000002</v>
      </c>
    </row>
    <row r="53" spans="1:37" x14ac:dyDescent="0.25">
      <c r="A53" s="5" t="s">
        <v>51</v>
      </c>
      <c r="B53" s="3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 x14ac:dyDescent="0.25">
      <c r="A54" s="20" t="s">
        <v>371</v>
      </c>
      <c r="B54" s="3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1:37" x14ac:dyDescent="0.25">
      <c r="A55" s="5" t="s">
        <v>372</v>
      </c>
      <c r="B55" s="36">
        <v>272591</v>
      </c>
      <c r="C55" s="21">
        <v>419000</v>
      </c>
      <c r="D55" s="21">
        <v>9000</v>
      </c>
      <c r="E55" s="21">
        <v>-89000</v>
      </c>
      <c r="F55" s="21">
        <v>90000</v>
      </c>
      <c r="G55" s="21">
        <v>78000</v>
      </c>
      <c r="H55" s="21">
        <v>587000</v>
      </c>
      <c r="I55" s="21">
        <v>86000</v>
      </c>
      <c r="J55" s="21">
        <v>476000</v>
      </c>
      <c r="K55" s="21">
        <v>380000</v>
      </c>
      <c r="L55" s="21">
        <v>-80000</v>
      </c>
      <c r="M55" s="21">
        <v>-627000</v>
      </c>
      <c r="N55" s="21">
        <v>669000</v>
      </c>
      <c r="O55" s="21">
        <v>279000</v>
      </c>
      <c r="P55" s="21">
        <v>577000</v>
      </c>
      <c r="Q55" s="21">
        <v>1400000</v>
      </c>
      <c r="R55" s="21">
        <v>1218000</v>
      </c>
      <c r="S55" s="21">
        <v>1632000</v>
      </c>
      <c r="T55" s="21">
        <v>1732000</v>
      </c>
      <c r="U55" s="21">
        <v>1658000</v>
      </c>
      <c r="V55" s="21">
        <v>-61000</v>
      </c>
      <c r="W55" s="21">
        <v>-379000</v>
      </c>
      <c r="X55" s="21">
        <v>168000</v>
      </c>
      <c r="Y55" s="21">
        <v>1135000</v>
      </c>
      <c r="Z55" s="21">
        <v>405000</v>
      </c>
      <c r="AA55" s="21">
        <v>1553000</v>
      </c>
      <c r="AB55" s="21">
        <v>360000</v>
      </c>
      <c r="AC55" s="21">
        <v>754000</v>
      </c>
      <c r="AD55" s="21">
        <v>826000</v>
      </c>
      <c r="AE55" s="21">
        <v>938000</v>
      </c>
      <c r="AF55" s="21">
        <v>682000</v>
      </c>
      <c r="AG55" s="21">
        <v>138000</v>
      </c>
      <c r="AH55" s="21">
        <v>4090000</v>
      </c>
      <c r="AI55" s="21">
        <v>3505000</v>
      </c>
      <c r="AJ55" s="21">
        <v>2100000</v>
      </c>
      <c r="AK55" s="21">
        <v>919000</v>
      </c>
    </row>
    <row r="56" spans="1:37" x14ac:dyDescent="0.25">
      <c r="A56" s="5" t="s">
        <v>373</v>
      </c>
      <c r="B56" s="36">
        <v>272601</v>
      </c>
      <c r="C56" s="21">
        <v>-427000</v>
      </c>
      <c r="D56" s="21">
        <v>-456000</v>
      </c>
      <c r="E56" s="21">
        <v>-327000</v>
      </c>
      <c r="F56" s="21">
        <v>80000</v>
      </c>
      <c r="G56" s="21">
        <v>-251000</v>
      </c>
      <c r="H56" s="21">
        <v>-252000</v>
      </c>
      <c r="I56" s="21">
        <v>-139000</v>
      </c>
      <c r="J56" s="21">
        <v>134000</v>
      </c>
      <c r="K56" s="21">
        <v>-349000</v>
      </c>
      <c r="L56" s="21">
        <v>-294000</v>
      </c>
      <c r="M56" s="21">
        <v>-270000</v>
      </c>
      <c r="N56" s="21">
        <v>-239000</v>
      </c>
      <c r="O56" s="21">
        <v>-309000</v>
      </c>
      <c r="P56" s="21">
        <v>-1130000</v>
      </c>
      <c r="Q56" s="21">
        <v>-484000</v>
      </c>
      <c r="R56" s="21">
        <v>-708000</v>
      </c>
      <c r="S56" s="21">
        <v>-590000</v>
      </c>
      <c r="T56" s="21">
        <v>-4675000</v>
      </c>
      <c r="U56" s="21">
        <v>-1032000</v>
      </c>
      <c r="V56" s="21">
        <v>-374000</v>
      </c>
      <c r="W56" s="21">
        <v>-583000</v>
      </c>
      <c r="X56" s="21">
        <v>-813000</v>
      </c>
      <c r="Y56" s="21">
        <v>-602000</v>
      </c>
      <c r="Z56" s="21">
        <v>-384000</v>
      </c>
      <c r="AA56" s="21">
        <v>-427000</v>
      </c>
      <c r="AB56" s="21">
        <v>-510000</v>
      </c>
      <c r="AC56" s="21">
        <v>-315000</v>
      </c>
      <c r="AD56" s="21">
        <v>-386000</v>
      </c>
      <c r="AE56" s="21">
        <v>-963000</v>
      </c>
      <c r="AF56" s="21">
        <v>-1958000</v>
      </c>
      <c r="AG56" s="21">
        <v>-563000</v>
      </c>
      <c r="AH56" s="21">
        <v>-840000</v>
      </c>
      <c r="AI56" s="21">
        <v>-1679000</v>
      </c>
      <c r="AJ56" s="21">
        <v>-2568000</v>
      </c>
      <c r="AK56" s="21">
        <v>-2276000</v>
      </c>
    </row>
    <row r="57" spans="1:37" x14ac:dyDescent="0.25">
      <c r="A57" s="5" t="s">
        <v>374</v>
      </c>
      <c r="B57" s="36">
        <v>272618</v>
      </c>
      <c r="C57" s="21">
        <v>-218000</v>
      </c>
      <c r="D57" s="21">
        <v>456000</v>
      </c>
      <c r="E57" s="21">
        <v>359000</v>
      </c>
      <c r="F57" s="21">
        <v>-113000</v>
      </c>
      <c r="G57" s="21">
        <v>114000</v>
      </c>
      <c r="H57" s="21">
        <v>-303000</v>
      </c>
      <c r="I57" s="21">
        <v>24000</v>
      </c>
      <c r="J57" s="21">
        <v>-615000</v>
      </c>
      <c r="K57" s="21">
        <v>-40000</v>
      </c>
      <c r="L57" s="21">
        <v>387000</v>
      </c>
      <c r="M57" s="21">
        <v>1093000</v>
      </c>
      <c r="N57" s="21">
        <v>-501000</v>
      </c>
      <c r="O57" s="21">
        <v>122000</v>
      </c>
      <c r="P57" s="21">
        <v>627000</v>
      </c>
      <c r="Q57" s="21">
        <v>-203000</v>
      </c>
      <c r="R57" s="21">
        <v>-61000</v>
      </c>
      <c r="S57" s="21">
        <v>-1106000</v>
      </c>
      <c r="T57" s="21">
        <v>1904000</v>
      </c>
      <c r="U57" s="21">
        <v>-305000</v>
      </c>
      <c r="V57" s="21">
        <v>938000</v>
      </c>
      <c r="W57" s="21">
        <v>335000</v>
      </c>
      <c r="X57" s="21">
        <v>477000</v>
      </c>
      <c r="Y57" s="21">
        <v>-373000</v>
      </c>
      <c r="Z57" s="21">
        <v>4000</v>
      </c>
      <c r="AA57" s="21">
        <v>-341000</v>
      </c>
      <c r="AB57" s="21">
        <v>-408000</v>
      </c>
      <c r="AC57" s="21">
        <v>332000</v>
      </c>
      <c r="AD57" s="21">
        <v>-415000</v>
      </c>
      <c r="AE57" s="21">
        <v>-515000</v>
      </c>
      <c r="AF57" s="21">
        <v>1177000</v>
      </c>
      <c r="AG57" s="21">
        <v>1581000</v>
      </c>
      <c r="AH57" s="21">
        <v>-2747000</v>
      </c>
      <c r="AI57" s="21">
        <v>-868000</v>
      </c>
      <c r="AJ57" s="21">
        <v>-98000</v>
      </c>
      <c r="AK57" s="21">
        <v>-199000</v>
      </c>
    </row>
    <row r="58" spans="1:37" x14ac:dyDescent="0.25">
      <c r="A58" s="5" t="s">
        <v>304</v>
      </c>
      <c r="B58" s="36">
        <v>272619</v>
      </c>
      <c r="C58" s="14" t="s">
        <v>163</v>
      </c>
      <c r="D58" s="14" t="s">
        <v>163</v>
      </c>
      <c r="E58" s="14" t="s">
        <v>163</v>
      </c>
      <c r="F58" s="14" t="s">
        <v>163</v>
      </c>
      <c r="G58" s="14" t="s">
        <v>163</v>
      </c>
      <c r="H58" s="14" t="s">
        <v>163</v>
      </c>
      <c r="I58" s="14" t="s">
        <v>163</v>
      </c>
      <c r="J58" s="14" t="s">
        <v>163</v>
      </c>
      <c r="K58" s="14" t="s">
        <v>163</v>
      </c>
      <c r="L58" s="14" t="s">
        <v>163</v>
      </c>
      <c r="M58" s="21">
        <v>1000</v>
      </c>
      <c r="N58" s="21">
        <v>-1000</v>
      </c>
      <c r="O58" s="21">
        <v>4000</v>
      </c>
      <c r="P58" s="21">
        <v>-1000</v>
      </c>
      <c r="Q58" s="21">
        <v>8000</v>
      </c>
      <c r="R58" s="21">
        <v>-7000</v>
      </c>
      <c r="S58" s="21">
        <v>7000</v>
      </c>
      <c r="T58" s="21">
        <v>18000</v>
      </c>
      <c r="U58" s="21">
        <v>2000</v>
      </c>
      <c r="V58" s="21">
        <v>-9000</v>
      </c>
      <c r="W58" s="21">
        <v>-13000</v>
      </c>
      <c r="X58" s="21">
        <v>-2000</v>
      </c>
      <c r="Y58" s="21">
        <v>2000</v>
      </c>
      <c r="Z58" s="21">
        <v>9000</v>
      </c>
      <c r="AA58" s="21">
        <v>-35000</v>
      </c>
      <c r="AB58" s="21">
        <v>-41000</v>
      </c>
      <c r="AC58" s="21">
        <v>-8000</v>
      </c>
      <c r="AD58" s="21">
        <v>17000</v>
      </c>
      <c r="AE58" s="21">
        <v>-17000</v>
      </c>
      <c r="AF58" s="21">
        <v>-2000</v>
      </c>
      <c r="AG58" s="21">
        <v>23000</v>
      </c>
      <c r="AH58" s="21">
        <v>-21000</v>
      </c>
      <c r="AI58" s="21">
        <v>-19000</v>
      </c>
      <c r="AJ58" s="21">
        <v>15000</v>
      </c>
      <c r="AK58" s="21">
        <v>-19000</v>
      </c>
    </row>
    <row r="59" spans="1:37" x14ac:dyDescent="0.25">
      <c r="A59" s="5" t="s">
        <v>375</v>
      </c>
      <c r="B59" s="36">
        <v>272621</v>
      </c>
      <c r="C59" s="21">
        <v>-226000</v>
      </c>
      <c r="D59" s="21">
        <v>9000</v>
      </c>
      <c r="E59" s="21">
        <v>-57000</v>
      </c>
      <c r="F59" s="21">
        <v>57000</v>
      </c>
      <c r="G59" s="21">
        <v>-59000</v>
      </c>
      <c r="H59" s="21">
        <v>32000</v>
      </c>
      <c r="I59" s="21">
        <v>-29000</v>
      </c>
      <c r="J59" s="21">
        <v>-5000</v>
      </c>
      <c r="K59" s="21">
        <v>-9000</v>
      </c>
      <c r="L59" s="21">
        <v>13000</v>
      </c>
      <c r="M59" s="21">
        <v>197000</v>
      </c>
      <c r="N59" s="21">
        <v>-72000</v>
      </c>
      <c r="O59" s="21">
        <v>96000</v>
      </c>
      <c r="P59" s="21">
        <v>73000</v>
      </c>
      <c r="Q59" s="21">
        <v>721000</v>
      </c>
      <c r="R59" s="21">
        <v>442000</v>
      </c>
      <c r="S59" s="21">
        <v>-57000</v>
      </c>
      <c r="T59" s="21">
        <v>-1021000</v>
      </c>
      <c r="U59" s="21">
        <v>323000</v>
      </c>
      <c r="V59" s="21">
        <v>494000</v>
      </c>
      <c r="W59" s="21">
        <v>-640000</v>
      </c>
      <c r="X59" s="21">
        <v>-170000</v>
      </c>
      <c r="Y59" s="21">
        <v>162000</v>
      </c>
      <c r="Z59" s="21">
        <v>34000</v>
      </c>
      <c r="AA59" s="21">
        <v>750000</v>
      </c>
      <c r="AB59" s="21">
        <v>-599000</v>
      </c>
      <c r="AC59" s="21">
        <v>763000</v>
      </c>
      <c r="AD59" s="21">
        <v>42000</v>
      </c>
      <c r="AE59" s="21">
        <v>-557000</v>
      </c>
      <c r="AF59" s="21">
        <v>-101000</v>
      </c>
      <c r="AG59" s="21">
        <v>1179000</v>
      </c>
      <c r="AH59" s="21">
        <v>482000</v>
      </c>
      <c r="AI59" s="21">
        <v>939000</v>
      </c>
      <c r="AJ59" s="21">
        <v>-551000</v>
      </c>
      <c r="AK59" s="21">
        <v>-1575000</v>
      </c>
    </row>
    <row r="60" spans="1:37" x14ac:dyDescent="0.25">
      <c r="A60" s="5" t="s">
        <v>278</v>
      </c>
      <c r="B60" s="36">
        <v>272592</v>
      </c>
      <c r="C60" s="21">
        <v>-391000</v>
      </c>
      <c r="D60" s="21">
        <v>-432000</v>
      </c>
      <c r="E60" s="21">
        <v>-298000</v>
      </c>
      <c r="F60" s="21">
        <v>-198000</v>
      </c>
      <c r="G60" s="21">
        <v>-248000</v>
      </c>
      <c r="H60" s="21">
        <v>-324000</v>
      </c>
      <c r="I60" s="21">
        <v>-337000</v>
      </c>
      <c r="J60" s="21">
        <v>-261000</v>
      </c>
      <c r="K60" s="21">
        <v>-310000</v>
      </c>
      <c r="L60" s="21">
        <v>-287000</v>
      </c>
      <c r="M60" s="21">
        <v>-244000</v>
      </c>
      <c r="N60" s="21">
        <v>-287000</v>
      </c>
      <c r="O60" s="21">
        <v>-258000</v>
      </c>
      <c r="P60" s="21">
        <v>-316000</v>
      </c>
      <c r="Q60" s="21">
        <v>-579000</v>
      </c>
      <c r="R60" s="21">
        <v>-741000</v>
      </c>
      <c r="S60" s="21">
        <v>-612000</v>
      </c>
      <c r="T60" s="21">
        <v>-692000</v>
      </c>
      <c r="U60" s="21">
        <v>-896000</v>
      </c>
      <c r="V60" s="21">
        <v>-619000</v>
      </c>
      <c r="W60" s="21">
        <v>-676000</v>
      </c>
      <c r="X60" s="21">
        <v>-848000</v>
      </c>
      <c r="Y60" s="21">
        <v>-723000</v>
      </c>
      <c r="Z60" s="21">
        <v>-468000</v>
      </c>
      <c r="AA60" s="21">
        <v>-480000</v>
      </c>
      <c r="AB60" s="21">
        <v>-500000</v>
      </c>
      <c r="AC60" s="21">
        <v>-306000</v>
      </c>
      <c r="AD60" s="21">
        <v>-505000</v>
      </c>
      <c r="AE60" s="21">
        <v>-1001000</v>
      </c>
      <c r="AF60" s="21">
        <v>-1252000</v>
      </c>
      <c r="AG60" s="21">
        <v>-725000</v>
      </c>
      <c r="AH60" s="21">
        <v>-863000</v>
      </c>
      <c r="AI60" s="21">
        <v>-1769000</v>
      </c>
      <c r="AJ60" s="21">
        <v>-2576000</v>
      </c>
      <c r="AK60" s="21">
        <v>-2287000</v>
      </c>
    </row>
    <row r="61" spans="1:37" x14ac:dyDescent="0.25">
      <c r="A61" s="5" t="s">
        <v>310</v>
      </c>
      <c r="B61" s="36">
        <v>272627</v>
      </c>
      <c r="C61" s="14" t="s">
        <v>163</v>
      </c>
      <c r="D61" s="14" t="s">
        <v>163</v>
      </c>
      <c r="E61" s="21">
        <v>-36000</v>
      </c>
      <c r="F61" s="21">
        <v>-307000</v>
      </c>
      <c r="G61" s="21">
        <v>643000</v>
      </c>
      <c r="H61" s="21">
        <v>-540000</v>
      </c>
      <c r="I61" s="21">
        <v>223000</v>
      </c>
      <c r="J61" s="21">
        <v>49000</v>
      </c>
      <c r="K61" s="21">
        <v>29000</v>
      </c>
      <c r="L61" s="21">
        <v>413000</v>
      </c>
      <c r="M61" s="21">
        <v>628000</v>
      </c>
      <c r="N61" s="21">
        <v>-616000</v>
      </c>
      <c r="O61" s="21">
        <v>151000</v>
      </c>
      <c r="P61" s="21">
        <v>-145000</v>
      </c>
      <c r="Q61" s="21">
        <v>81000</v>
      </c>
      <c r="R61" s="21">
        <v>76000</v>
      </c>
      <c r="S61" s="21">
        <v>291000</v>
      </c>
      <c r="T61" s="21">
        <v>511000</v>
      </c>
      <c r="U61" s="21">
        <v>646000</v>
      </c>
      <c r="V61" s="21">
        <v>-969000</v>
      </c>
      <c r="W61" s="21">
        <v>453000</v>
      </c>
      <c r="X61" s="21">
        <v>322000</v>
      </c>
      <c r="Y61" s="21">
        <v>-179000</v>
      </c>
      <c r="Z61" s="21">
        <v>614000</v>
      </c>
      <c r="AA61" s="21">
        <v>-1268000</v>
      </c>
      <c r="AB61" s="21">
        <v>-225000</v>
      </c>
      <c r="AC61" s="21">
        <v>-499000</v>
      </c>
      <c r="AD61" s="21">
        <v>-128000</v>
      </c>
      <c r="AE61" s="21">
        <v>266000</v>
      </c>
      <c r="AF61" s="21">
        <v>-185000</v>
      </c>
      <c r="AG61" s="21">
        <v>-471000</v>
      </c>
      <c r="AH61" s="21">
        <v>822000</v>
      </c>
      <c r="AI61" s="21">
        <v>-349000</v>
      </c>
      <c r="AJ61" s="21">
        <v>-282000</v>
      </c>
      <c r="AK61" s="21">
        <v>389000</v>
      </c>
    </row>
    <row r="62" spans="1:37" x14ac:dyDescent="0.25">
      <c r="A62" s="5" t="s">
        <v>309</v>
      </c>
      <c r="B62" s="36">
        <v>272626</v>
      </c>
      <c r="C62" s="14" t="s">
        <v>163</v>
      </c>
      <c r="D62" s="14" t="s">
        <v>163</v>
      </c>
      <c r="E62" s="21">
        <v>-118375</v>
      </c>
      <c r="F62" s="21">
        <v>356125</v>
      </c>
      <c r="G62" s="21">
        <v>-374500</v>
      </c>
      <c r="H62" s="21">
        <v>844625</v>
      </c>
      <c r="I62" s="21">
        <v>-49750</v>
      </c>
      <c r="J62" s="21">
        <v>404750</v>
      </c>
      <c r="K62" s="21">
        <v>244000</v>
      </c>
      <c r="L62" s="21">
        <v>-260000</v>
      </c>
      <c r="M62" s="21">
        <v>-472250</v>
      </c>
      <c r="N62" s="21">
        <v>372125</v>
      </c>
      <c r="O62" s="21">
        <v>-40625</v>
      </c>
      <c r="P62" s="21">
        <v>207250</v>
      </c>
      <c r="Q62" s="21">
        <v>672625</v>
      </c>
      <c r="R62" s="21">
        <v>429000</v>
      </c>
      <c r="S62" s="21">
        <v>641500</v>
      </c>
      <c r="T62" s="21">
        <v>89125</v>
      </c>
      <c r="U62" s="21">
        <v>853625</v>
      </c>
      <c r="V62" s="21">
        <v>-10125</v>
      </c>
      <c r="W62" s="21">
        <v>-528250</v>
      </c>
      <c r="X62" s="21">
        <v>-359125</v>
      </c>
      <c r="Y62" s="21">
        <v>404375</v>
      </c>
      <c r="Z62" s="21">
        <v>-293750</v>
      </c>
      <c r="AA62" s="21">
        <v>2018125</v>
      </c>
      <c r="AB62" s="21">
        <v>-21000</v>
      </c>
      <c r="AC62" s="21">
        <v>645750</v>
      </c>
      <c r="AD62" s="21">
        <v>477250</v>
      </c>
      <c r="AE62" s="21">
        <v>-120250</v>
      </c>
      <c r="AF62" s="21">
        <v>-503750</v>
      </c>
      <c r="AG62" s="21">
        <v>-30000</v>
      </c>
      <c r="AH62" s="21">
        <v>2039125</v>
      </c>
      <c r="AI62" s="21">
        <v>1533000</v>
      </c>
      <c r="AJ62" s="21">
        <v>-700125</v>
      </c>
      <c r="AK62" s="21">
        <v>-1531625</v>
      </c>
    </row>
    <row r="63" spans="1:37" x14ac:dyDescent="0.25">
      <c r="A63" s="5" t="s">
        <v>308</v>
      </c>
      <c r="B63" s="36">
        <v>272625</v>
      </c>
      <c r="C63" s="14" t="s">
        <v>163</v>
      </c>
      <c r="D63" s="14" t="s">
        <v>163</v>
      </c>
      <c r="E63" s="21">
        <v>-228375</v>
      </c>
      <c r="F63" s="21">
        <v>149875</v>
      </c>
      <c r="G63" s="21">
        <v>-469500</v>
      </c>
      <c r="H63" s="21">
        <v>759000</v>
      </c>
      <c r="I63" s="21">
        <v>-124750</v>
      </c>
      <c r="J63" s="21">
        <v>347875</v>
      </c>
      <c r="K63" s="21">
        <v>214625</v>
      </c>
      <c r="L63" s="21">
        <v>-306875</v>
      </c>
      <c r="M63" s="21">
        <v>-532250</v>
      </c>
      <c r="N63" s="21">
        <v>247125</v>
      </c>
      <c r="O63" s="21">
        <v>-122500</v>
      </c>
      <c r="P63" s="21">
        <v>111625</v>
      </c>
      <c r="Q63" s="21">
        <v>573875</v>
      </c>
      <c r="R63" s="21">
        <v>379625</v>
      </c>
      <c r="S63" s="21">
        <v>569000</v>
      </c>
      <c r="T63" s="21">
        <v>-5875</v>
      </c>
      <c r="U63" s="21">
        <v>744875</v>
      </c>
      <c r="V63" s="21">
        <v>-117625</v>
      </c>
      <c r="W63" s="21">
        <v>-659500</v>
      </c>
      <c r="X63" s="21">
        <v>-487875</v>
      </c>
      <c r="Y63" s="21">
        <v>260625</v>
      </c>
      <c r="Z63" s="21">
        <v>-472500</v>
      </c>
      <c r="AA63" s="21">
        <v>1864375</v>
      </c>
      <c r="AB63" s="21">
        <v>-161625</v>
      </c>
      <c r="AC63" s="21">
        <v>496375</v>
      </c>
      <c r="AD63" s="21">
        <v>329750</v>
      </c>
      <c r="AE63" s="21">
        <v>-230250</v>
      </c>
      <c r="AF63" s="21">
        <v>-596875</v>
      </c>
      <c r="AG63" s="21">
        <v>-214375</v>
      </c>
      <c r="AH63" s="21">
        <v>1834750</v>
      </c>
      <c r="AI63" s="21">
        <v>1428000</v>
      </c>
      <c r="AJ63" s="21">
        <v>-750750</v>
      </c>
      <c r="AK63" s="21">
        <v>-1552250</v>
      </c>
    </row>
    <row r="64" spans="1:37" x14ac:dyDescent="0.25">
      <c r="A64" s="5" t="s">
        <v>376</v>
      </c>
      <c r="B64" s="36">
        <v>274482</v>
      </c>
      <c r="C64" s="14" t="s">
        <v>163</v>
      </c>
      <c r="D64" s="28">
        <v>8.0000000000000002E-3</v>
      </c>
      <c r="E64" s="14" t="s">
        <v>103</v>
      </c>
      <c r="F64" s="28">
        <v>5.5E-2</v>
      </c>
      <c r="G64" s="28">
        <v>6.2E-2</v>
      </c>
      <c r="H64" s="28">
        <v>0.38600000000000001</v>
      </c>
      <c r="I64" s="28">
        <v>6.6000000000000003E-2</v>
      </c>
      <c r="J64" s="28">
        <v>0.35699999999999998</v>
      </c>
      <c r="K64" s="28">
        <v>0.374</v>
      </c>
      <c r="L64" s="14" t="s">
        <v>103</v>
      </c>
      <c r="M64" s="14" t="s">
        <v>103</v>
      </c>
      <c r="N64" s="28">
        <v>0.53200000000000003</v>
      </c>
      <c r="O64" s="28">
        <v>0.20300000000000001</v>
      </c>
      <c r="P64" s="28">
        <v>0.27100000000000002</v>
      </c>
      <c r="Q64" s="28">
        <v>0.55200000000000005</v>
      </c>
      <c r="R64" s="28">
        <v>0.443</v>
      </c>
      <c r="S64" s="28">
        <v>0.60399999999999998</v>
      </c>
      <c r="T64" s="28">
        <v>0.57699999999999996</v>
      </c>
      <c r="U64" s="28">
        <v>0.59699999999999998</v>
      </c>
      <c r="V64" s="14" t="s">
        <v>103</v>
      </c>
      <c r="W64" s="14" t="s">
        <v>103</v>
      </c>
      <c r="X64" s="28">
        <v>4.5999999999999999E-2</v>
      </c>
      <c r="Y64" s="28">
        <v>0.38</v>
      </c>
      <c r="Z64" s="28">
        <v>0.125</v>
      </c>
      <c r="AA64" s="28">
        <v>0.435</v>
      </c>
      <c r="AB64" s="28">
        <v>0.16800000000000001</v>
      </c>
      <c r="AC64" s="28">
        <v>0.32300000000000001</v>
      </c>
      <c r="AD64" s="28">
        <v>0.29799999999999999</v>
      </c>
      <c r="AE64" s="28">
        <v>0.29299999999999998</v>
      </c>
      <c r="AF64" s="28">
        <v>0.26</v>
      </c>
      <c r="AG64" s="28">
        <v>5.1999999999999998E-2</v>
      </c>
      <c r="AH64" s="28">
        <v>1.0620000000000001</v>
      </c>
      <c r="AI64" s="28">
        <v>0.88500000000000001</v>
      </c>
      <c r="AJ64" s="28">
        <v>0.53200000000000003</v>
      </c>
      <c r="AK64" s="28">
        <v>0.27200000000000002</v>
      </c>
    </row>
    <row r="65" spans="1:37" x14ac:dyDescent="0.25">
      <c r="A65" s="5" t="s">
        <v>51</v>
      </c>
      <c r="B65" s="3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 x14ac:dyDescent="0.25">
      <c r="A66" s="20" t="s">
        <v>377</v>
      </c>
      <c r="B66" s="3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1:37" x14ac:dyDescent="0.25">
      <c r="A67" s="5" t="s">
        <v>378</v>
      </c>
      <c r="B67" s="36">
        <v>274473</v>
      </c>
      <c r="C67" s="14" t="s">
        <v>163</v>
      </c>
      <c r="D67" s="14" t="s">
        <v>163</v>
      </c>
      <c r="E67" s="28">
        <v>-2.431</v>
      </c>
      <c r="F67" s="28">
        <v>-1.038</v>
      </c>
      <c r="G67" s="28">
        <v>3.089</v>
      </c>
      <c r="H67" s="28">
        <v>4.7779999999999996</v>
      </c>
      <c r="I67" s="28">
        <v>3.3010000000000002</v>
      </c>
      <c r="J67" s="28">
        <v>6.0830000000000002</v>
      </c>
      <c r="K67" s="28">
        <v>4.4630000000000001</v>
      </c>
      <c r="L67" s="28">
        <v>1.8919999999999999</v>
      </c>
      <c r="M67" s="28">
        <v>0.47699999999999998</v>
      </c>
      <c r="N67" s="28">
        <v>-3.6</v>
      </c>
      <c r="O67" s="28">
        <v>0.17599999999999999</v>
      </c>
      <c r="P67" s="28">
        <v>-0.86899999999999999</v>
      </c>
      <c r="Q67" s="28">
        <v>10.058999999999999</v>
      </c>
      <c r="R67" s="28">
        <v>8.4269999999999996</v>
      </c>
      <c r="S67" s="28">
        <v>10.707000000000001</v>
      </c>
      <c r="T67" s="28">
        <v>5.8209999999999997</v>
      </c>
      <c r="U67" s="28">
        <v>11.07</v>
      </c>
      <c r="V67" s="28">
        <v>-6.7160000000000002</v>
      </c>
      <c r="W67" s="28">
        <v>-0.56100000000000005</v>
      </c>
      <c r="X67" s="28">
        <v>0.61699999999999999</v>
      </c>
      <c r="Y67" s="28">
        <v>1.5940000000000001</v>
      </c>
      <c r="Z67" s="28">
        <v>0.502</v>
      </c>
      <c r="AA67" s="28">
        <v>4.5170000000000003</v>
      </c>
      <c r="AB67" s="28">
        <v>-3.1160000000000001</v>
      </c>
      <c r="AC67" s="28">
        <v>-0.83199999999999996</v>
      </c>
      <c r="AD67" s="28">
        <v>3.43</v>
      </c>
      <c r="AE67" s="28">
        <v>5.6970000000000001</v>
      </c>
      <c r="AF67" s="28">
        <v>-0.69699999999999995</v>
      </c>
      <c r="AG67" s="28">
        <v>-3.7610000000000001</v>
      </c>
      <c r="AH67" s="28">
        <v>19.268000000000001</v>
      </c>
      <c r="AI67" s="28">
        <v>11.295</v>
      </c>
      <c r="AJ67" s="28">
        <v>3.1419999999999999</v>
      </c>
      <c r="AK67" s="28">
        <v>0.88200000000000001</v>
      </c>
    </row>
    <row r="68" spans="1:37" x14ac:dyDescent="0.25">
      <c r="A68" s="5" t="s">
        <v>379</v>
      </c>
      <c r="B68" s="36">
        <v>274474</v>
      </c>
      <c r="C68" s="14" t="s">
        <v>163</v>
      </c>
      <c r="D68" s="14" t="s">
        <v>163</v>
      </c>
      <c r="E68" s="28">
        <v>-4.6159999999999997</v>
      </c>
      <c r="F68" s="28">
        <v>-2.8460000000000001</v>
      </c>
      <c r="G68" s="28">
        <v>8.7270000000000003</v>
      </c>
      <c r="H68" s="28">
        <v>12.694000000000001</v>
      </c>
      <c r="I68" s="28">
        <v>8.3699999999999992</v>
      </c>
      <c r="J68" s="28">
        <v>15.27</v>
      </c>
      <c r="K68" s="28">
        <v>11.146000000000001</v>
      </c>
      <c r="L68" s="28">
        <v>4.4630000000000001</v>
      </c>
      <c r="M68" s="28">
        <v>0.98899999999999999</v>
      </c>
      <c r="N68" s="28">
        <v>-7.149</v>
      </c>
      <c r="O68" s="28">
        <v>0.38700000000000001</v>
      </c>
      <c r="P68" s="28">
        <v>-2.1190000000000002</v>
      </c>
      <c r="Q68" s="28">
        <v>22.364999999999998</v>
      </c>
      <c r="R68" s="28">
        <v>16.856999999999999</v>
      </c>
      <c r="S68" s="28">
        <v>21.018000000000001</v>
      </c>
      <c r="T68" s="28">
        <v>10.67</v>
      </c>
      <c r="U68" s="28">
        <v>20.558</v>
      </c>
      <c r="V68" s="28">
        <v>-12.789</v>
      </c>
      <c r="W68" s="28">
        <v>-1.083</v>
      </c>
      <c r="X68" s="28">
        <v>1.2649999999999999</v>
      </c>
      <c r="Y68" s="28">
        <v>3.2930000000000001</v>
      </c>
      <c r="Z68" s="28">
        <v>0.96699999999999997</v>
      </c>
      <c r="AA68" s="28">
        <v>7.7759999999999998</v>
      </c>
      <c r="AB68" s="28">
        <v>-5.1269999999999998</v>
      </c>
      <c r="AC68" s="28">
        <v>-1.4019999999999999</v>
      </c>
      <c r="AD68" s="28">
        <v>5.7590000000000003</v>
      </c>
      <c r="AE68" s="28">
        <v>9.4190000000000005</v>
      </c>
      <c r="AF68" s="28">
        <v>-1.0820000000000001</v>
      </c>
      <c r="AG68" s="28">
        <v>-5.2480000000000002</v>
      </c>
      <c r="AH68" s="28">
        <v>25.957000000000001</v>
      </c>
      <c r="AI68" s="28">
        <v>15.237</v>
      </c>
      <c r="AJ68" s="28">
        <v>4.1900000000000004</v>
      </c>
      <c r="AK68" s="28">
        <v>1.151</v>
      </c>
    </row>
    <row r="69" spans="1:37" x14ac:dyDescent="0.25">
      <c r="A69" s="5" t="s">
        <v>380</v>
      </c>
      <c r="B69" s="36">
        <v>274475</v>
      </c>
      <c r="C69" s="14" t="s">
        <v>163</v>
      </c>
      <c r="D69" s="14" t="s">
        <v>163</v>
      </c>
      <c r="E69" s="28">
        <v>-27.952999999999999</v>
      </c>
      <c r="F69" s="28">
        <v>-39.119999999999997</v>
      </c>
      <c r="G69" s="28">
        <v>24.722999999999999</v>
      </c>
      <c r="H69" s="28">
        <v>25.071999999999999</v>
      </c>
      <c r="I69" s="28">
        <v>18.103999999999999</v>
      </c>
      <c r="J69" s="28">
        <v>25.992000000000001</v>
      </c>
      <c r="K69" s="28">
        <v>18.167999999999999</v>
      </c>
      <c r="L69" s="28">
        <v>2.383</v>
      </c>
      <c r="M69" s="28">
        <v>-1.0229999999999999</v>
      </c>
      <c r="N69" s="28">
        <v>-9.7080000000000002</v>
      </c>
      <c r="O69" s="28">
        <v>2.6909999999999998</v>
      </c>
      <c r="P69" s="28">
        <v>-23.254000000000001</v>
      </c>
      <c r="Q69" s="28">
        <v>44.41</v>
      </c>
      <c r="R69" s="28">
        <v>25.396000000000001</v>
      </c>
      <c r="S69" s="28">
        <v>36.061</v>
      </c>
      <c r="T69" s="28">
        <v>17.760999999999999</v>
      </c>
      <c r="U69" s="28">
        <v>40.344999999999999</v>
      </c>
      <c r="V69" s="28">
        <v>-28.013999999999999</v>
      </c>
      <c r="W69" s="28">
        <v>-10.916</v>
      </c>
      <c r="X69" s="28">
        <v>-1.4419999999999999</v>
      </c>
      <c r="Y69" s="28">
        <v>-3.5819999999999999</v>
      </c>
      <c r="Z69" s="28">
        <v>-48.000999999999998</v>
      </c>
      <c r="AA69" s="28">
        <v>2.843</v>
      </c>
      <c r="AB69" s="28">
        <v>-52.654000000000003</v>
      </c>
      <c r="AC69" s="28">
        <v>-18.675999999999998</v>
      </c>
      <c r="AD69" s="28">
        <v>13.831</v>
      </c>
      <c r="AE69" s="28">
        <v>29.638000000000002</v>
      </c>
      <c r="AF69" s="28">
        <v>-15.188000000000001</v>
      </c>
      <c r="AG69" s="28">
        <v>-29.227</v>
      </c>
      <c r="AH69" s="28">
        <v>64.304000000000002</v>
      </c>
      <c r="AI69" s="28">
        <v>26.001999999999999</v>
      </c>
      <c r="AJ69" s="28">
        <v>8.3450000000000006</v>
      </c>
      <c r="AK69" s="28">
        <v>3.4009999999999998</v>
      </c>
    </row>
    <row r="70" spans="1:37" x14ac:dyDescent="0.25">
      <c r="A70" s="5" t="s">
        <v>381</v>
      </c>
      <c r="B70" s="36">
        <v>274476</v>
      </c>
      <c r="C70" s="14" t="s">
        <v>163</v>
      </c>
      <c r="D70" s="14" t="s">
        <v>163</v>
      </c>
      <c r="E70" s="28">
        <v>-29.01</v>
      </c>
      <c r="F70" s="28">
        <v>-47.088000000000001</v>
      </c>
      <c r="G70" s="28">
        <v>23.498000000000001</v>
      </c>
      <c r="H70" s="28">
        <v>24.8</v>
      </c>
      <c r="I70" s="28">
        <v>17.472000000000001</v>
      </c>
      <c r="J70" s="28">
        <v>26.902000000000001</v>
      </c>
      <c r="K70" s="28">
        <v>18.350999999999999</v>
      </c>
      <c r="L70" s="28">
        <v>2.028</v>
      </c>
      <c r="M70" s="28">
        <v>-1.0569999999999999</v>
      </c>
      <c r="N70" s="28">
        <v>-9.8529999999999998</v>
      </c>
      <c r="O70" s="28">
        <v>2.6909999999999998</v>
      </c>
      <c r="P70" s="28">
        <v>-26.192</v>
      </c>
      <c r="Q70" s="28">
        <v>46.688000000000002</v>
      </c>
      <c r="R70" s="28">
        <v>25.61</v>
      </c>
      <c r="S70" s="28">
        <v>36.558</v>
      </c>
      <c r="T70" s="28">
        <v>17.765000000000001</v>
      </c>
      <c r="U70" s="28">
        <v>40.514000000000003</v>
      </c>
      <c r="V70" s="28">
        <v>-29.276</v>
      </c>
      <c r="W70" s="28">
        <v>-11.305</v>
      </c>
      <c r="X70" s="28">
        <v>-1.4419999999999999</v>
      </c>
      <c r="Y70" s="28">
        <v>-3.5550000000000002</v>
      </c>
      <c r="Z70" s="28">
        <v>-48.015000000000001</v>
      </c>
      <c r="AA70" s="28">
        <v>2.8439999999999999</v>
      </c>
      <c r="AB70" s="28">
        <v>-52.67</v>
      </c>
      <c r="AC70" s="28">
        <v>-18.684000000000001</v>
      </c>
      <c r="AD70" s="28">
        <v>13.836</v>
      </c>
      <c r="AE70" s="28">
        <v>29.646000000000001</v>
      </c>
      <c r="AF70" s="28">
        <v>-15.192</v>
      </c>
      <c r="AG70" s="28">
        <v>-29.576000000000001</v>
      </c>
      <c r="AH70" s="28">
        <v>65.239000000000004</v>
      </c>
      <c r="AI70" s="28">
        <v>26.253</v>
      </c>
      <c r="AJ70" s="28">
        <v>8.4179999999999993</v>
      </c>
      <c r="AK70" s="28">
        <v>3.4289999999999998</v>
      </c>
    </row>
    <row r="71" spans="1:37" x14ac:dyDescent="0.25">
      <c r="A71" s="5" t="s">
        <v>382</v>
      </c>
      <c r="B71" s="36">
        <v>274477</v>
      </c>
      <c r="C71" s="28">
        <v>14.112</v>
      </c>
      <c r="D71" s="28">
        <v>2.714</v>
      </c>
      <c r="E71" s="28">
        <v>2.907</v>
      </c>
      <c r="F71" s="28">
        <v>5.4880000000000004</v>
      </c>
      <c r="G71" s="28">
        <v>12.095000000000001</v>
      </c>
      <c r="H71" s="28">
        <v>13.801</v>
      </c>
      <c r="I71" s="28">
        <v>10.776</v>
      </c>
      <c r="J71" s="28">
        <v>15.439</v>
      </c>
      <c r="K71" s="28">
        <v>12.135</v>
      </c>
      <c r="L71" s="28">
        <v>8.1649999999999991</v>
      </c>
      <c r="M71" s="28">
        <v>6.6669999999999998</v>
      </c>
      <c r="N71" s="28">
        <v>1.956</v>
      </c>
      <c r="O71" s="28">
        <v>11.382999999999999</v>
      </c>
      <c r="P71" s="28">
        <v>9.327</v>
      </c>
      <c r="Q71" s="28">
        <v>18.655000000000001</v>
      </c>
      <c r="R71" s="28">
        <v>17.081</v>
      </c>
      <c r="S71" s="28">
        <v>17.62</v>
      </c>
      <c r="T71" s="28">
        <v>13.548</v>
      </c>
      <c r="U71" s="28">
        <v>16.97</v>
      </c>
      <c r="V71" s="28">
        <v>-4.1909999999999998</v>
      </c>
      <c r="W71" s="28">
        <v>6.4180000000000001</v>
      </c>
      <c r="X71" s="28">
        <v>7.835</v>
      </c>
      <c r="Y71" s="28">
        <v>8.6869999999999994</v>
      </c>
      <c r="Z71" s="28">
        <v>8.0809999999999995</v>
      </c>
      <c r="AA71" s="28">
        <v>11.721</v>
      </c>
      <c r="AB71" s="28">
        <v>3.7410000000000001</v>
      </c>
      <c r="AC71" s="28">
        <v>6.3639999999999999</v>
      </c>
      <c r="AD71" s="28">
        <v>11.363</v>
      </c>
      <c r="AE71" s="28">
        <v>13.211</v>
      </c>
      <c r="AF71" s="28">
        <v>7.2350000000000003</v>
      </c>
      <c r="AG71" s="28">
        <v>2.597</v>
      </c>
      <c r="AH71" s="28">
        <v>28.661000000000001</v>
      </c>
      <c r="AI71" s="28">
        <v>20.664999999999999</v>
      </c>
      <c r="AJ71" s="28">
        <v>12.762</v>
      </c>
      <c r="AK71" s="28">
        <v>10.409000000000001</v>
      </c>
    </row>
    <row r="72" spans="1:37" x14ac:dyDescent="0.25">
      <c r="A72" s="5" t="s">
        <v>383</v>
      </c>
      <c r="B72" s="36">
        <v>274478</v>
      </c>
      <c r="C72" s="28">
        <v>5.1050000000000004</v>
      </c>
      <c r="D72" s="28">
        <v>-10.423999999999999</v>
      </c>
      <c r="E72" s="28">
        <v>-32.649000000000001</v>
      </c>
      <c r="F72" s="28">
        <v>-4.2409999999999997</v>
      </c>
      <c r="G72" s="28">
        <v>3.3079999999999998</v>
      </c>
      <c r="H72" s="28">
        <v>4.6619999999999999</v>
      </c>
      <c r="I72" s="28">
        <v>4.1790000000000003</v>
      </c>
      <c r="J72" s="28">
        <v>6.633</v>
      </c>
      <c r="K72" s="28">
        <v>5.7069999999999999</v>
      </c>
      <c r="L72" s="28">
        <v>0.79500000000000004</v>
      </c>
      <c r="M72" s="28">
        <v>-0.34499999999999997</v>
      </c>
      <c r="N72" s="28">
        <v>-3.4660000000000002</v>
      </c>
      <c r="O72" s="28">
        <v>0.878</v>
      </c>
      <c r="P72" s="28">
        <v>-4.5030000000000001</v>
      </c>
      <c r="Q72" s="28">
        <v>8.1219999999999999</v>
      </c>
      <c r="R72" s="28">
        <v>6.4820000000000002</v>
      </c>
      <c r="S72" s="28">
        <v>8.7430000000000003</v>
      </c>
      <c r="T72" s="28">
        <v>5.21</v>
      </c>
      <c r="U72" s="28">
        <v>8.891</v>
      </c>
      <c r="V72" s="28">
        <v>-12.680999999999999</v>
      </c>
      <c r="W72" s="28">
        <v>-2.774</v>
      </c>
      <c r="X72" s="28">
        <v>-0.26700000000000002</v>
      </c>
      <c r="Y72" s="28">
        <v>-0.64200000000000002</v>
      </c>
      <c r="Z72" s="28">
        <v>-9.4410000000000007</v>
      </c>
      <c r="AA72" s="28">
        <v>0.58299999999999996</v>
      </c>
      <c r="AB72" s="28">
        <v>-14.186999999999999</v>
      </c>
      <c r="AC72" s="28">
        <v>-4.2880000000000003</v>
      </c>
      <c r="AD72" s="28">
        <v>3.1589999999999998</v>
      </c>
      <c r="AE72" s="28">
        <v>7.8639999999999999</v>
      </c>
      <c r="AF72" s="28">
        <v>-4.87</v>
      </c>
      <c r="AG72" s="28">
        <v>-11.96</v>
      </c>
      <c r="AH72" s="28">
        <v>20.587</v>
      </c>
      <c r="AI72" s="28">
        <v>11.981999999999999</v>
      </c>
      <c r="AJ72" s="28">
        <v>4.9580000000000002</v>
      </c>
      <c r="AK72" s="28">
        <v>2.4550000000000001</v>
      </c>
    </row>
    <row r="73" spans="1:37" x14ac:dyDescent="0.25">
      <c r="A73" s="5" t="s">
        <v>384</v>
      </c>
      <c r="B73" s="36">
        <v>274479</v>
      </c>
      <c r="C73" s="28">
        <v>5.1050000000000004</v>
      </c>
      <c r="D73" s="28">
        <v>-10.423999999999999</v>
      </c>
      <c r="E73" s="28">
        <v>-5.5090000000000003</v>
      </c>
      <c r="F73" s="28">
        <v>-3.0110000000000001</v>
      </c>
      <c r="G73" s="28">
        <v>3.3079999999999998</v>
      </c>
      <c r="H73" s="28">
        <v>4.6929999999999996</v>
      </c>
      <c r="I73" s="28">
        <v>4.2089999999999996</v>
      </c>
      <c r="J73" s="28">
        <v>6.633</v>
      </c>
      <c r="K73" s="28">
        <v>5.7069999999999999</v>
      </c>
      <c r="L73" s="28">
        <v>0.92100000000000004</v>
      </c>
      <c r="M73" s="28">
        <v>-0.34499999999999997</v>
      </c>
      <c r="N73" s="28">
        <v>-3.4660000000000002</v>
      </c>
      <c r="O73" s="28">
        <v>0.878</v>
      </c>
      <c r="P73" s="28">
        <v>-3.8919999999999999</v>
      </c>
      <c r="Q73" s="28">
        <v>8.2579999999999991</v>
      </c>
      <c r="R73" s="28">
        <v>6.7450000000000001</v>
      </c>
      <c r="S73" s="28">
        <v>8.9019999999999992</v>
      </c>
      <c r="T73" s="28">
        <v>5.2750000000000004</v>
      </c>
      <c r="U73" s="28">
        <v>9.0679999999999996</v>
      </c>
      <c r="V73" s="28">
        <v>-12.726000000000001</v>
      </c>
      <c r="W73" s="28">
        <v>-2.774</v>
      </c>
      <c r="X73" s="28">
        <v>-0.26700000000000002</v>
      </c>
      <c r="Y73" s="28">
        <v>-0.64700000000000002</v>
      </c>
      <c r="Z73" s="28">
        <v>-9.4410000000000007</v>
      </c>
      <c r="AA73" s="28">
        <v>0.58299999999999996</v>
      </c>
      <c r="AB73" s="28">
        <v>-14.186999999999999</v>
      </c>
      <c r="AC73" s="28">
        <v>-4.2880000000000003</v>
      </c>
      <c r="AD73" s="28">
        <v>3.1589999999999998</v>
      </c>
      <c r="AE73" s="28">
        <v>7.8639999999999999</v>
      </c>
      <c r="AF73" s="28">
        <v>-4.87</v>
      </c>
      <c r="AG73" s="28">
        <v>-11.96</v>
      </c>
      <c r="AH73" s="28">
        <v>20.587</v>
      </c>
      <c r="AI73" s="28">
        <v>11.981999999999999</v>
      </c>
      <c r="AJ73" s="28">
        <v>4.9580000000000002</v>
      </c>
      <c r="AK73" s="28">
        <v>2.4550000000000001</v>
      </c>
    </row>
    <row r="74" spans="1:37" x14ac:dyDescent="0.25">
      <c r="A74" s="5" t="s">
        <v>385</v>
      </c>
      <c r="B74" s="36">
        <v>274480</v>
      </c>
      <c r="C74" s="28">
        <v>12.398999999999999</v>
      </c>
      <c r="D74" s="28">
        <v>0.78100000000000003</v>
      </c>
      <c r="E74" s="28">
        <v>1.159</v>
      </c>
      <c r="F74" s="28">
        <v>3.6890000000000001</v>
      </c>
      <c r="G74" s="28">
        <v>10.499000000000001</v>
      </c>
      <c r="H74" s="28">
        <v>12.624000000000001</v>
      </c>
      <c r="I74" s="28">
        <v>9.766</v>
      </c>
      <c r="J74" s="28">
        <v>13.927</v>
      </c>
      <c r="K74" s="28">
        <v>11.962999999999999</v>
      </c>
      <c r="L74" s="28">
        <v>9.3930000000000007</v>
      </c>
      <c r="M74" s="28">
        <v>6.9290000000000003</v>
      </c>
      <c r="N74" s="28">
        <v>-2.3370000000000002</v>
      </c>
      <c r="O74" s="28">
        <v>5.3680000000000003</v>
      </c>
      <c r="P74" s="28">
        <v>2.7120000000000002</v>
      </c>
      <c r="Q74" s="28">
        <v>13.617000000000001</v>
      </c>
      <c r="R74" s="28">
        <v>12.635999999999999</v>
      </c>
      <c r="S74" s="28">
        <v>13.898</v>
      </c>
      <c r="T74" s="28">
        <v>10.234999999999999</v>
      </c>
      <c r="U74" s="28">
        <v>14.372</v>
      </c>
      <c r="V74" s="28">
        <v>-9.3409999999999993</v>
      </c>
      <c r="W74" s="28">
        <v>2.9929999999999999</v>
      </c>
      <c r="X74" s="28">
        <v>4.2039999999999997</v>
      </c>
      <c r="Y74" s="28">
        <v>5.484</v>
      </c>
      <c r="Z74" s="28">
        <v>4.58</v>
      </c>
      <c r="AA74" s="28">
        <v>8.7739999999999991</v>
      </c>
      <c r="AB74" s="28">
        <v>0.16400000000000001</v>
      </c>
      <c r="AC74" s="28">
        <v>3.7519999999999998</v>
      </c>
      <c r="AD74" s="28">
        <v>8.3510000000000009</v>
      </c>
      <c r="AE74" s="28">
        <v>10.375</v>
      </c>
      <c r="AF74" s="28">
        <v>3.7879999999999998</v>
      </c>
      <c r="AG74" s="28">
        <v>-0.70799999999999996</v>
      </c>
      <c r="AH74" s="28">
        <v>26.614000000000001</v>
      </c>
      <c r="AI74" s="28">
        <v>19.744</v>
      </c>
      <c r="AJ74" s="28">
        <v>10.63</v>
      </c>
      <c r="AK74" s="28">
        <v>7.673</v>
      </c>
    </row>
    <row r="75" spans="1:37" x14ac:dyDescent="0.25">
      <c r="A75" s="5" t="s">
        <v>386</v>
      </c>
      <c r="B75" s="36">
        <v>274481</v>
      </c>
      <c r="C75" s="28">
        <v>7.8220000000000001</v>
      </c>
      <c r="D75" s="28">
        <v>-4.42</v>
      </c>
      <c r="E75" s="28">
        <v>-4.6959999999999997</v>
      </c>
      <c r="F75" s="28">
        <v>-1.907</v>
      </c>
      <c r="G75" s="28">
        <v>5.3319999999999999</v>
      </c>
      <c r="H75" s="28">
        <v>7.6980000000000004</v>
      </c>
      <c r="I75" s="28">
        <v>5.2960000000000003</v>
      </c>
      <c r="J75" s="28">
        <v>9.48</v>
      </c>
      <c r="K75" s="28">
        <v>7.5259999999999998</v>
      </c>
      <c r="L75" s="28">
        <v>3.9020000000000001</v>
      </c>
      <c r="M75" s="28">
        <v>1.018</v>
      </c>
      <c r="N75" s="28">
        <v>-7.8070000000000004</v>
      </c>
      <c r="O75" s="28">
        <v>0.33100000000000002</v>
      </c>
      <c r="P75" s="28">
        <v>-1.179</v>
      </c>
      <c r="Q75" s="28">
        <v>10.884</v>
      </c>
      <c r="R75" s="28">
        <v>10.029</v>
      </c>
      <c r="S75" s="28">
        <v>11.122999999999999</v>
      </c>
      <c r="T75" s="28">
        <v>7.2359999999999998</v>
      </c>
      <c r="U75" s="28">
        <v>11.824999999999999</v>
      </c>
      <c r="V75" s="28">
        <v>-15.324</v>
      </c>
      <c r="W75" s="28">
        <v>-0.79400000000000004</v>
      </c>
      <c r="X75" s="28">
        <v>0.78</v>
      </c>
      <c r="Y75" s="28">
        <v>2.0640000000000001</v>
      </c>
      <c r="Z75" s="28">
        <v>0.65400000000000003</v>
      </c>
      <c r="AA75" s="28">
        <v>5.1920000000000002</v>
      </c>
      <c r="AB75" s="28">
        <v>-4.5620000000000003</v>
      </c>
      <c r="AC75" s="28">
        <v>-1.1890000000000001</v>
      </c>
      <c r="AD75" s="28">
        <v>4.2610000000000001</v>
      </c>
      <c r="AE75" s="28">
        <v>6.7009999999999996</v>
      </c>
      <c r="AF75" s="28">
        <v>-0.97399999999999998</v>
      </c>
      <c r="AG75" s="28">
        <v>-7.3090000000000002</v>
      </c>
      <c r="AH75" s="28">
        <v>22.713000000000001</v>
      </c>
      <c r="AI75" s="28">
        <v>15.989000000000001</v>
      </c>
      <c r="AJ75" s="28">
        <v>5.556</v>
      </c>
      <c r="AK75" s="28">
        <v>1.835</v>
      </c>
    </row>
    <row r="76" spans="1:37" x14ac:dyDescent="0.25">
      <c r="A76" s="5" t="s">
        <v>51</v>
      </c>
      <c r="B76" s="3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1:37" x14ac:dyDescent="0.25">
      <c r="A77" s="20" t="s">
        <v>387</v>
      </c>
      <c r="B77" s="3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1:37" x14ac:dyDescent="0.25">
      <c r="A78" s="5" t="s">
        <v>101</v>
      </c>
      <c r="B78" s="36">
        <v>271522</v>
      </c>
      <c r="C78" s="28">
        <v>0.88</v>
      </c>
      <c r="D78" s="28">
        <v>0.94</v>
      </c>
      <c r="E78" s="28">
        <v>1</v>
      </c>
      <c r="F78" s="28">
        <v>1</v>
      </c>
      <c r="G78" s="28">
        <v>1</v>
      </c>
      <c r="H78" s="28">
        <v>1</v>
      </c>
      <c r="I78" s="28">
        <v>1</v>
      </c>
      <c r="J78" s="28">
        <v>1</v>
      </c>
      <c r="K78" s="28">
        <v>1</v>
      </c>
      <c r="L78" s="28">
        <v>1</v>
      </c>
      <c r="M78" s="28">
        <v>1</v>
      </c>
      <c r="N78" s="28">
        <v>0.55000000000000004</v>
      </c>
      <c r="O78" s="28">
        <v>0.2</v>
      </c>
      <c r="P78" s="28">
        <v>0.2</v>
      </c>
      <c r="Q78" s="28">
        <v>0.2</v>
      </c>
      <c r="R78" s="28">
        <v>0.38</v>
      </c>
      <c r="S78" s="28">
        <v>0.6</v>
      </c>
      <c r="T78" s="28">
        <v>0.8</v>
      </c>
      <c r="U78" s="28">
        <v>1.1000000000000001</v>
      </c>
      <c r="V78" s="28">
        <v>0.45</v>
      </c>
      <c r="W78" s="28">
        <v>0.2</v>
      </c>
      <c r="X78" s="28">
        <v>0.2</v>
      </c>
      <c r="Y78" s="28">
        <v>0.2</v>
      </c>
      <c r="Z78" s="28">
        <v>0.2</v>
      </c>
      <c r="AA78" s="28">
        <v>0.2</v>
      </c>
      <c r="AB78" s="28">
        <v>0.2</v>
      </c>
      <c r="AC78" s="28">
        <v>0.2</v>
      </c>
      <c r="AD78" s="28">
        <v>0.2</v>
      </c>
      <c r="AE78" s="28">
        <v>0.2</v>
      </c>
      <c r="AF78" s="28">
        <v>0.2</v>
      </c>
      <c r="AG78" s="28">
        <v>0.04</v>
      </c>
      <c r="AH78" s="28">
        <v>0.08</v>
      </c>
      <c r="AI78" s="28">
        <v>0.2</v>
      </c>
      <c r="AJ78" s="28">
        <v>0.2</v>
      </c>
      <c r="AK78" s="28">
        <v>0.2</v>
      </c>
    </row>
    <row r="79" spans="1:37" x14ac:dyDescent="0.25">
      <c r="A79" s="5" t="s">
        <v>94</v>
      </c>
      <c r="B79" s="36">
        <v>271515</v>
      </c>
      <c r="C79" s="28">
        <v>6</v>
      </c>
      <c r="D79" s="28">
        <v>-9.9909999999999997</v>
      </c>
      <c r="E79" s="28">
        <v>-4.9139999999999997</v>
      </c>
      <c r="F79" s="28">
        <v>-2.952</v>
      </c>
      <c r="G79" s="28">
        <v>2.3410000000000002</v>
      </c>
      <c r="H79" s="28">
        <v>3.5289999999999999</v>
      </c>
      <c r="I79" s="28">
        <v>3.0110000000000001</v>
      </c>
      <c r="J79" s="28">
        <v>5.2409999999999997</v>
      </c>
      <c r="K79" s="28">
        <v>4.0570000000000004</v>
      </c>
      <c r="L79" s="28">
        <v>0.47499999999999998</v>
      </c>
      <c r="M79" s="28">
        <v>-0.23499999999999999</v>
      </c>
      <c r="N79" s="28">
        <v>-2.4430000000000001</v>
      </c>
      <c r="O79" s="28">
        <v>0.626</v>
      </c>
      <c r="P79" s="28">
        <v>-3.673</v>
      </c>
      <c r="Q79" s="28">
        <v>9.8620000000000001</v>
      </c>
      <c r="R79" s="28">
        <v>7.8609999999999998</v>
      </c>
      <c r="S79" s="28">
        <v>11.887</v>
      </c>
      <c r="T79" s="28">
        <v>7.4429999999999996</v>
      </c>
      <c r="U79" s="28">
        <v>18.036000000000001</v>
      </c>
      <c r="V79" s="28">
        <v>-10.419</v>
      </c>
      <c r="W79" s="28">
        <v>-3.3570000000000002</v>
      </c>
      <c r="X79" s="28">
        <v>-0.36799999999999999</v>
      </c>
      <c r="Y79" s="28">
        <v>-0.86</v>
      </c>
      <c r="Z79" s="28">
        <v>-11.378</v>
      </c>
      <c r="AA79" s="28">
        <v>0.70299999999999996</v>
      </c>
      <c r="AB79" s="28">
        <v>-11.239000000000001</v>
      </c>
      <c r="AC79" s="28">
        <v>-2.8079999999999998</v>
      </c>
      <c r="AD79" s="28">
        <v>2.214</v>
      </c>
      <c r="AE79" s="28">
        <v>6.3129999999999997</v>
      </c>
      <c r="AF79" s="28">
        <v>-3.6749999999999998</v>
      </c>
      <c r="AG79" s="28">
        <v>-5.9219999999999997</v>
      </c>
      <c r="AH79" s="28">
        <v>15.771000000000001</v>
      </c>
      <c r="AI79" s="28">
        <v>10.218999999999999</v>
      </c>
      <c r="AJ79" s="28">
        <v>3.9820000000000002</v>
      </c>
      <c r="AK79" s="28">
        <v>1.708</v>
      </c>
    </row>
    <row r="80" spans="1:37" x14ac:dyDescent="0.25">
      <c r="A80" s="5" t="s">
        <v>93</v>
      </c>
      <c r="B80" s="36">
        <v>271514</v>
      </c>
      <c r="C80" s="28">
        <v>6</v>
      </c>
      <c r="D80" s="28">
        <v>-9.9909999999999997</v>
      </c>
      <c r="E80" s="28">
        <v>-28.853999999999999</v>
      </c>
      <c r="F80" s="28">
        <v>-4.024</v>
      </c>
      <c r="G80" s="28">
        <v>2.3410000000000002</v>
      </c>
      <c r="H80" s="28">
        <v>3.5030000000000001</v>
      </c>
      <c r="I80" s="28">
        <v>2.9870000000000001</v>
      </c>
      <c r="J80" s="28">
        <v>5.2409999999999997</v>
      </c>
      <c r="K80" s="28">
        <v>4.0570000000000004</v>
      </c>
      <c r="L80" s="28">
        <v>0.39600000000000002</v>
      </c>
      <c r="M80" s="28">
        <v>-0.23499999999999999</v>
      </c>
      <c r="N80" s="28">
        <v>-2.4430000000000001</v>
      </c>
      <c r="O80" s="28">
        <v>0.626</v>
      </c>
      <c r="P80" s="28">
        <v>-4.226</v>
      </c>
      <c r="Q80" s="28">
        <v>9.9879999999999995</v>
      </c>
      <c r="R80" s="28">
        <v>7.8609999999999998</v>
      </c>
      <c r="S80" s="28">
        <v>11.887</v>
      </c>
      <c r="T80" s="28">
        <v>7.4429999999999996</v>
      </c>
      <c r="U80" s="28">
        <v>18.036000000000001</v>
      </c>
      <c r="V80" s="28">
        <v>-10.419</v>
      </c>
      <c r="W80" s="28">
        <v>-3.3570000000000002</v>
      </c>
      <c r="X80" s="28">
        <v>-0.36799999999999999</v>
      </c>
      <c r="Y80" s="28">
        <v>-0.86</v>
      </c>
      <c r="Z80" s="28">
        <v>-11.378</v>
      </c>
      <c r="AA80" s="28">
        <v>0.70299999999999996</v>
      </c>
      <c r="AB80" s="28">
        <v>-11.239000000000001</v>
      </c>
      <c r="AC80" s="28">
        <v>-2.8079999999999998</v>
      </c>
      <c r="AD80" s="28">
        <v>2.214</v>
      </c>
      <c r="AE80" s="28">
        <v>6.3129999999999997</v>
      </c>
      <c r="AF80" s="28">
        <v>-3.6749999999999998</v>
      </c>
      <c r="AG80" s="28">
        <v>-5.9219999999999997</v>
      </c>
      <c r="AH80" s="28">
        <v>15.771000000000001</v>
      </c>
      <c r="AI80" s="28">
        <v>10.218999999999999</v>
      </c>
      <c r="AJ80" s="28">
        <v>3.9820000000000002</v>
      </c>
      <c r="AK80" s="28">
        <v>1.708</v>
      </c>
    </row>
    <row r="81" spans="1:37" x14ac:dyDescent="0.25">
      <c r="A81" s="5" t="s">
        <v>97</v>
      </c>
      <c r="B81" s="36">
        <v>271518</v>
      </c>
      <c r="C81" s="28">
        <v>5.83</v>
      </c>
      <c r="D81" s="28">
        <v>-9.9909999999999997</v>
      </c>
      <c r="E81" s="28">
        <v>-4.92</v>
      </c>
      <c r="F81" s="28">
        <v>-2.96</v>
      </c>
      <c r="G81" s="28">
        <v>2.33</v>
      </c>
      <c r="H81" s="28">
        <v>3.4350000000000001</v>
      </c>
      <c r="I81" s="28">
        <v>2.9780000000000002</v>
      </c>
      <c r="J81" s="28">
        <v>4.883</v>
      </c>
      <c r="K81" s="28">
        <v>3.9180000000000001</v>
      </c>
      <c r="L81" s="28">
        <v>0.47499999999999998</v>
      </c>
      <c r="M81" s="28">
        <v>-0.24</v>
      </c>
      <c r="N81" s="28">
        <v>-2.4500000000000002</v>
      </c>
      <c r="O81" s="28">
        <v>0.62</v>
      </c>
      <c r="P81" s="28">
        <v>-3.673</v>
      </c>
      <c r="Q81" s="28">
        <v>8.7140000000000004</v>
      </c>
      <c r="R81" s="28">
        <v>7.0019999999999998</v>
      </c>
      <c r="S81" s="28">
        <v>11.178000000000001</v>
      </c>
      <c r="T81" s="28">
        <v>7.4</v>
      </c>
      <c r="U81" s="28">
        <v>17.96</v>
      </c>
      <c r="V81" s="28">
        <v>-10.42</v>
      </c>
      <c r="W81" s="28">
        <v>-3.36</v>
      </c>
      <c r="X81" s="28">
        <v>-0.37</v>
      </c>
      <c r="Y81" s="28">
        <v>-0.86</v>
      </c>
      <c r="Z81" s="28">
        <v>-11.378</v>
      </c>
      <c r="AA81" s="28">
        <v>0.69</v>
      </c>
      <c r="AB81" s="28">
        <v>-11.24</v>
      </c>
      <c r="AC81" s="28">
        <v>-2.81</v>
      </c>
      <c r="AD81" s="28">
        <v>2.19</v>
      </c>
      <c r="AE81" s="28">
        <v>6.25</v>
      </c>
      <c r="AF81" s="28">
        <v>-3.6749999999999998</v>
      </c>
      <c r="AG81" s="28">
        <v>-5.9219999999999997</v>
      </c>
      <c r="AH81" s="28">
        <v>14.88</v>
      </c>
      <c r="AI81" s="28">
        <v>9.16</v>
      </c>
      <c r="AJ81" s="28">
        <v>3.556</v>
      </c>
      <c r="AK81" s="28">
        <v>1.5629999999999999</v>
      </c>
    </row>
    <row r="82" spans="1:37" x14ac:dyDescent="0.25">
      <c r="A82" s="5" t="s">
        <v>96</v>
      </c>
      <c r="B82" s="36">
        <v>271517</v>
      </c>
      <c r="C82" s="28">
        <v>5.83</v>
      </c>
      <c r="D82" s="28">
        <v>-9.9909999999999997</v>
      </c>
      <c r="E82" s="28">
        <v>-28.86</v>
      </c>
      <c r="F82" s="28">
        <v>-4.032</v>
      </c>
      <c r="G82" s="28">
        <v>2.33</v>
      </c>
      <c r="H82" s="28">
        <v>3.4119999999999999</v>
      </c>
      <c r="I82" s="28">
        <v>2.9550000000000001</v>
      </c>
      <c r="J82" s="28">
        <v>4.883</v>
      </c>
      <c r="K82" s="28">
        <v>3.9180000000000001</v>
      </c>
      <c r="L82" s="28">
        <v>0.39600000000000002</v>
      </c>
      <c r="M82" s="28">
        <v>-0.24</v>
      </c>
      <c r="N82" s="28">
        <v>-2.4500000000000002</v>
      </c>
      <c r="O82" s="28">
        <v>0.62</v>
      </c>
      <c r="P82" s="28">
        <v>-4.226</v>
      </c>
      <c r="Q82" s="28">
        <v>8.8230000000000004</v>
      </c>
      <c r="R82" s="28">
        <v>7.0019999999999998</v>
      </c>
      <c r="S82" s="28">
        <v>11.178000000000001</v>
      </c>
      <c r="T82" s="28">
        <v>7.4</v>
      </c>
      <c r="U82" s="28">
        <v>17.96</v>
      </c>
      <c r="V82" s="28">
        <v>-10.42</v>
      </c>
      <c r="W82" s="28">
        <v>-3.36</v>
      </c>
      <c r="X82" s="28">
        <v>-0.37</v>
      </c>
      <c r="Y82" s="28">
        <v>-0.86</v>
      </c>
      <c r="Z82" s="28">
        <v>-11.378</v>
      </c>
      <c r="AA82" s="28">
        <v>0.69</v>
      </c>
      <c r="AB82" s="28">
        <v>-11.24</v>
      </c>
      <c r="AC82" s="28">
        <v>-2.81</v>
      </c>
      <c r="AD82" s="28">
        <v>2.19</v>
      </c>
      <c r="AE82" s="28">
        <v>6.25</v>
      </c>
      <c r="AF82" s="28">
        <v>-3.6749999999999998</v>
      </c>
      <c r="AG82" s="28">
        <v>-5.9219999999999997</v>
      </c>
      <c r="AH82" s="28">
        <v>14.88</v>
      </c>
      <c r="AI82" s="28">
        <v>9.16</v>
      </c>
      <c r="AJ82" s="28">
        <v>3.556</v>
      </c>
      <c r="AK82" s="28">
        <v>1.5629999999999999</v>
      </c>
    </row>
    <row r="83" spans="1:37" x14ac:dyDescent="0.25">
      <c r="A83" s="5" t="s">
        <v>95</v>
      </c>
      <c r="B83" s="36">
        <v>271516</v>
      </c>
      <c r="C83" s="21">
        <v>51000000</v>
      </c>
      <c r="D83" s="21">
        <v>50948000</v>
      </c>
      <c r="E83" s="21">
        <v>55764000</v>
      </c>
      <c r="F83" s="21">
        <v>64370000</v>
      </c>
      <c r="G83" s="21">
        <v>75184000</v>
      </c>
      <c r="H83" s="21">
        <v>79064000</v>
      </c>
      <c r="I83" s="21">
        <v>84025000</v>
      </c>
      <c r="J83" s="21">
        <v>85672000</v>
      </c>
      <c r="K83" s="21">
        <v>87508000</v>
      </c>
      <c r="L83" s="21">
        <v>88400000</v>
      </c>
      <c r="M83" s="21">
        <v>89223000</v>
      </c>
      <c r="N83" s="21">
        <v>89223000</v>
      </c>
      <c r="O83" s="21">
        <v>97426000</v>
      </c>
      <c r="P83" s="21">
        <v>103179000</v>
      </c>
      <c r="Q83" s="21">
        <v>111838000</v>
      </c>
      <c r="R83" s="21">
        <v>113470000</v>
      </c>
      <c r="S83" s="21">
        <v>114918000</v>
      </c>
      <c r="T83" s="21">
        <v>118090000</v>
      </c>
      <c r="U83" s="21">
        <v>117102000</v>
      </c>
      <c r="V83" s="21">
        <v>134469000</v>
      </c>
      <c r="W83" s="21">
        <v>143571000</v>
      </c>
      <c r="X83" s="21">
        <v>143967000</v>
      </c>
      <c r="Y83" s="21">
        <v>144237000</v>
      </c>
      <c r="Z83" s="21">
        <v>144578000</v>
      </c>
      <c r="AA83" s="21">
        <v>145164000</v>
      </c>
      <c r="AB83" s="21">
        <v>146094000</v>
      </c>
      <c r="AC83" s="21">
        <v>156673000</v>
      </c>
      <c r="AD83" s="21">
        <v>174793000</v>
      </c>
      <c r="AE83" s="21">
        <v>176633000</v>
      </c>
      <c r="AF83" s="21">
        <v>171418000</v>
      </c>
      <c r="AG83" s="21">
        <v>196721000</v>
      </c>
      <c r="AH83" s="21">
        <v>264667000</v>
      </c>
      <c r="AI83" s="21">
        <v>246986000</v>
      </c>
      <c r="AJ83" s="21">
        <v>224761000</v>
      </c>
      <c r="AK83" s="21">
        <v>224817000</v>
      </c>
    </row>
    <row r="84" spans="1:37" x14ac:dyDescent="0.25">
      <c r="A84" s="5" t="s">
        <v>98</v>
      </c>
      <c r="B84" s="36">
        <v>271519</v>
      </c>
      <c r="C84" s="21">
        <v>54000000</v>
      </c>
      <c r="D84" s="21">
        <v>50948000</v>
      </c>
      <c r="E84" s="21">
        <v>55764000</v>
      </c>
      <c r="F84" s="21">
        <v>64370000</v>
      </c>
      <c r="G84" s="21">
        <v>78624000</v>
      </c>
      <c r="H84" s="21">
        <v>89379000</v>
      </c>
      <c r="I84" s="21">
        <v>85962000</v>
      </c>
      <c r="J84" s="21">
        <v>94203000</v>
      </c>
      <c r="K84" s="21">
        <v>94943000</v>
      </c>
      <c r="L84" s="21">
        <v>88400000</v>
      </c>
      <c r="M84" s="21">
        <v>89223000</v>
      </c>
      <c r="N84" s="21">
        <v>89223000</v>
      </c>
      <c r="O84" s="21">
        <v>97428000</v>
      </c>
      <c r="P84" s="21">
        <v>103179000</v>
      </c>
      <c r="Q84" s="21">
        <v>128643000</v>
      </c>
      <c r="R84" s="21">
        <v>129970000</v>
      </c>
      <c r="S84" s="21">
        <v>122918000</v>
      </c>
      <c r="T84" s="21">
        <v>118815000</v>
      </c>
      <c r="U84" s="21">
        <v>117621000</v>
      </c>
      <c r="V84" s="21">
        <v>134469000</v>
      </c>
      <c r="W84" s="21">
        <v>143571000</v>
      </c>
      <c r="X84" s="21">
        <v>143967000</v>
      </c>
      <c r="Y84" s="21">
        <v>144237000</v>
      </c>
      <c r="Z84" s="21">
        <v>144578000</v>
      </c>
      <c r="AA84" s="21">
        <v>152103000</v>
      </c>
      <c r="AB84" s="21">
        <v>146094000</v>
      </c>
      <c r="AC84" s="21">
        <v>156673000</v>
      </c>
      <c r="AD84" s="21">
        <v>176520000</v>
      </c>
      <c r="AE84" s="21">
        <v>178461000</v>
      </c>
      <c r="AF84" s="21">
        <v>171418000</v>
      </c>
      <c r="AG84" s="21">
        <v>196721000</v>
      </c>
      <c r="AH84" s="21">
        <v>280444000</v>
      </c>
      <c r="AI84" s="21">
        <v>276963000</v>
      </c>
      <c r="AJ84" s="21">
        <v>255360000</v>
      </c>
      <c r="AK84" s="21">
        <v>254004000</v>
      </c>
    </row>
    <row r="85" spans="1:37" x14ac:dyDescent="0.25">
      <c r="A85" s="6"/>
    </row>
  </sheetData>
  <mergeCells count="3">
    <mergeCell ref="A1:D1"/>
    <mergeCell ref="A2:AK2"/>
    <mergeCell ref="A12:AK1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 Steel_Income Statement</vt:lpstr>
      <vt:lpstr>US Steel_Balance Sheet</vt:lpstr>
      <vt:lpstr>US Steel_Cash Flow</vt:lpstr>
      <vt:lpstr>US Steel_Financial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Watson, Michael</dc:creator>
  <cp:lastModifiedBy>Watson, Michael</cp:lastModifiedBy>
  <dcterms:created xsi:type="dcterms:W3CDTF">2026-01-22T01:50:49Z</dcterms:created>
  <dcterms:modified xsi:type="dcterms:W3CDTF">2026-01-22T01:51:13Z</dcterms:modified>
</cp:coreProperties>
</file>